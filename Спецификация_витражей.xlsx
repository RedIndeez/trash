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По литерам" sheetId="2" state="visible" r:id="rId2"/>
    <sheet xmlns:r="http://schemas.openxmlformats.org/officeDocument/2006/relationships" name="Привязка к чертежам" sheetId="3" state="visible" r:id="rId3"/>
    <sheet xmlns:r="http://schemas.openxmlformats.org/officeDocument/2006/relationships" name="В КП, не вошло" sheetId="4" state="visible" r:id="rId4"/>
    <sheet xmlns:r="http://schemas.openxmlformats.org/officeDocument/2006/relationships" name="Сверка с К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2" fontId="2" fillId="3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3</v>
      </c>
      <c r="G4" s="3" t="n">
        <v>3</v>
      </c>
      <c r="H4" s="3" t="n">
        <v>1</v>
      </c>
      <c r="I4" s="3" t="n">
        <v>3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1 шт. по КП Г + по 1 шт. из КП лит. А и Б (там в КП по 4, на чертеже по 3)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ROUND(G6/F6,2)</f>
        <v/>
      </c>
      <c r="F6" s="3" t="n">
        <v>1</v>
      </c>
      <c r="G6" s="5" t="n">
        <v>12.34</v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ROUND(G7/F7,2)</f>
        <v/>
      </c>
      <c r="F7" s="3" t="n">
        <v>1</v>
      </c>
      <c r="G7" s="5" t="n">
        <v>11.14</v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ROUND(G8/F8,2)</f>
        <v/>
      </c>
      <c r="F8" s="3" t="n">
        <v>1</v>
      </c>
      <c r="G8" s="5" t="n">
        <v>5.62</v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ROUND(G9/F9,2)</f>
        <v/>
      </c>
      <c r="F9" s="3" t="n">
        <v>5</v>
      </c>
      <c r="G9" s="5" t="n">
        <v>28.57</v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2" t="inlineStr">
        <is>
          <t>Литер Б</t>
        </is>
      </c>
      <c r="C11" s="13" t="n"/>
      <c r="D11" s="13" t="n"/>
      <c r="E11" s="14" t="n"/>
      <c r="F11" s="13" t="n"/>
      <c r="G11" s="15" t="n"/>
      <c r="H11" s="13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ROUND(G12/F12,2)</f>
        <v/>
      </c>
      <c r="F12" s="3" t="n">
        <v>3</v>
      </c>
      <c r="G12" s="5" t="n">
        <v>58.46</v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ROUND(G13/F13,2)</f>
        <v/>
      </c>
      <c r="F13" s="3" t="n">
        <v>1</v>
      </c>
      <c r="G13" s="5" t="n">
        <v>6</v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19.49</v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ROUND(G15/F15,2)</f>
        <v/>
      </c>
      <c r="F15" s="3" t="n">
        <v>1</v>
      </c>
      <c r="G15" s="5" t="n">
        <v>11.9</v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ROUND(G16/F16,2)</f>
        <v/>
      </c>
      <c r="F16" s="3" t="n">
        <v>5</v>
      </c>
      <c r="G16" s="5" t="n">
        <v>28.57</v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2" t="inlineStr">
        <is>
          <t>Литер В</t>
        </is>
      </c>
      <c r="C18" s="13" t="n"/>
      <c r="D18" s="13" t="n"/>
      <c r="E18" s="14" t="n"/>
      <c r="F18" s="13" t="n"/>
      <c r="G18" s="15" t="n"/>
      <c r="H18" s="13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ROUND(G19/F19,2)</f>
        <v/>
      </c>
      <c r="F19" s="3" t="n">
        <v>1</v>
      </c>
      <c r="G19" s="5" t="n">
        <v>19.63</v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ROUND(G20/F20,2)</f>
        <v/>
      </c>
      <c r="F20" s="3" t="n">
        <v>1</v>
      </c>
      <c r="G20" s="5" t="n">
        <v>14.74</v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ROUND(G21/F21,2)</f>
        <v/>
      </c>
      <c r="F21" s="3" t="n">
        <v>3</v>
      </c>
      <c r="G21" s="5" t="n">
        <v>18.57</v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ROUND(G22/F22,2)</f>
        <v/>
      </c>
      <c r="F22" s="3" t="n">
        <v>1</v>
      </c>
      <c r="G22" s="5" t="n">
        <v>19.68</v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ROUND(G23/F23,2)</f>
        <v/>
      </c>
      <c r="F23" s="3" t="n">
        <v>2</v>
      </c>
      <c r="G23" s="5" t="n">
        <v>24.67</v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ROUND(G24/F24,2)</f>
        <v/>
      </c>
      <c r="F24" s="3" t="n">
        <v>1</v>
      </c>
      <c r="G24" s="5" t="n">
        <v>5.71</v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2" t="inlineStr">
        <is>
          <t>Литер Г</t>
        </is>
      </c>
      <c r="C26" s="13" t="n"/>
      <c r="D26" s="13" t="n"/>
      <c r="E26" s="14" t="n"/>
      <c r="F26" s="13" t="n"/>
      <c r="G26" s="15" t="n"/>
      <c r="H26" s="13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ROUND(G27/F27,2)</f>
        <v/>
      </c>
      <c r="F27" s="3" t="n">
        <v>1</v>
      </c>
      <c r="G27" s="5" t="n">
        <v>20.45</v>
      </c>
      <c r="H27" s="3" t="inlineStr">
        <is>
          <t>-6.000</t>
        </is>
      </c>
    </row>
    <row r="28">
      <c r="A28" s="3" t="n">
        <v>18</v>
      </c>
      <c r="B28" s="3" t="inlineStr">
        <is>
          <t>Вн-6 (из КП лит. А, 4130)</t>
        </is>
      </c>
      <c r="C28" s="3" t="n">
        <v>4200</v>
      </c>
      <c r="D28" s="3" t="n">
        <v>4820</v>
      </c>
      <c r="E28" s="4">
        <f>ROUND(G28/F28,2)</f>
        <v/>
      </c>
      <c r="F28" s="3" t="n">
        <v>1</v>
      </c>
      <c r="G28" s="5" t="n">
        <v>19.82</v>
      </c>
      <c r="H28" s="3" t="inlineStr">
        <is>
          <t>-6.000</t>
        </is>
      </c>
    </row>
    <row r="29">
      <c r="A29" s="3" t="n">
        <v>19</v>
      </c>
      <c r="B29" s="3" t="inlineStr">
        <is>
          <t>Вн-6 (из КП лит. Б, 4450)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21.36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SUM(F27:F35)</f>
        <v/>
      </c>
      <c r="G36" s="10">
        <f>SUM(G27:G35)</f>
        <v/>
      </c>
      <c r="H36" s="7" t="n"/>
    </row>
    <row r="37">
      <c r="A37" s="3" t="n"/>
      <c r="B37" s="12" t="inlineStr">
        <is>
          <t>Литер Д</t>
        </is>
      </c>
      <c r="C37" s="13" t="n"/>
      <c r="D37" s="13" t="n"/>
      <c r="E37" s="14" t="n"/>
      <c r="F37" s="13" t="n"/>
      <c r="G37" s="15" t="n"/>
      <c r="H37" s="13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16" t="inlineStr">
        <is>
          <t>ВСЕГО</t>
        </is>
      </c>
      <c r="C43" s="3" t="n"/>
      <c r="D43" s="3" t="n"/>
      <c r="E43" s="4" t="n"/>
      <c r="F43" s="16">
        <f>F10+F17+F25+F36+F42</f>
        <v/>
      </c>
      <c r="G43" s="17">
        <f>G10+G17+G25+G36+G42</f>
        <v/>
      </c>
      <c r="H43" s="3" t="n"/>
    </row>
  </sheetData>
  <mergeCells count="5">
    <mergeCell ref="B26:H26"/>
    <mergeCell ref="B18:H18"/>
    <mergeCell ref="B4:H4"/>
    <mergeCell ref="B11:H11"/>
    <mergeCell ref="B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8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  <c r="H24" s="3" t="inlineStr">
        <is>
          <t>да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  <c r="H25" s="3" t="inlineStr">
        <is>
          <t>да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  <c r="H26" s="3" t="inlineStr">
        <is>
          <t>да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19" t="n">
        <v>79305</v>
      </c>
      <c r="G44" s="19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19" t="n">
        <v>72445</v>
      </c>
      <c r="G45" s="19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64804</v>
      </c>
      <c r="G46" s="19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59604</v>
      </c>
      <c r="G47" s="19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53064</v>
      </c>
      <c r="G48" s="19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19" t="n">
        <v>45611</v>
      </c>
      <c r="G49" s="19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19" t="n">
        <v>39399</v>
      </c>
      <c r="G50" s="19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19" t="n">
        <v>33459</v>
      </c>
      <c r="G51" s="19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19" t="n">
        <v>26027</v>
      </c>
      <c r="G52" s="19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6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8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8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0" t="inlineStr">
        <is>
          <t>Площадь по размерам КП, м²</t>
        </is>
      </c>
      <c r="I4" s="20" t="inlineStr">
        <is>
          <t>Площадь в КП, м²</t>
        </is>
      </c>
      <c r="J4" s="20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Г (перенос из А)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Г (перенос из Б)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21" t="n"/>
      <c r="B48" s="8" t="inlineStr">
        <is>
          <t>ИТОГО</t>
        </is>
      </c>
      <c r="C48" s="21" t="n"/>
      <c r="D48" s="21" t="n"/>
      <c r="E48" s="21" t="n"/>
      <c r="F48" s="21" t="n"/>
      <c r="G48" s="8">
        <f>SUM(G5:G47)</f>
        <v/>
      </c>
      <c r="H48" s="22">
        <f>SUM(H5:H47)</f>
        <v/>
      </c>
      <c r="I48" s="22">
        <f>SUM(I5:I47)</f>
        <v/>
      </c>
      <c r="J48" s="22">
        <f>SUM(J5:J47)</f>
        <v/>
      </c>
      <c r="K48" s="21" t="n"/>
    </row>
    <row r="49">
      <c r="H49" s="23" t="n"/>
      <c r="I49" s="23" t="n"/>
      <c r="J49" s="23" t="n"/>
    </row>
    <row r="50">
      <c r="A50" s="18" t="inlineStr">
        <is>
          <t>2. Двери к витражам (КП от 13.04.2026) — в спецификацию не добавлены, для справки</t>
        </is>
      </c>
      <c r="H50" s="23" t="n"/>
      <c r="I50" s="23" t="n"/>
      <c r="J50" s="23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0" t="inlineStr">
        <is>
          <t>Площадь по размерам, м²</t>
        </is>
      </c>
      <c r="I51" s="20" t="inlineStr">
        <is>
          <t>Площадь в КП, м²</t>
        </is>
      </c>
      <c r="J51" s="23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3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3" t="n"/>
    </row>
    <row r="54">
      <c r="A54" s="3" t="n">
        <v>3</v>
      </c>
      <c r="B54" s="3" t="inlineStr">
        <is>
          <t>№9 А</t>
        </is>
      </c>
      <c r="C54" s="3" t="inlineStr">
        <is>
          <t>А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3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3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3" t="n"/>
    </row>
    <row r="57">
      <c r="A57" s="3" t="n">
        <v>6</v>
      </c>
      <c r="B57" s="3" t="inlineStr">
        <is>
          <t>№11 Б</t>
        </is>
      </c>
      <c r="C57" s="3" t="inlineStr">
        <is>
          <t>Б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3" t="n"/>
    </row>
    <row r="58">
      <c r="A58" s="3" t="n">
        <v>7</v>
      </c>
      <c r="B58" s="3" t="inlineStr">
        <is>
          <t>№14 (Д)</t>
        </is>
      </c>
      <c r="C58" s="3" t="inlineStr">
        <is>
          <t>Д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3" t="n"/>
    </row>
    <row r="59">
      <c r="A59" s="3" t="n">
        <v>8</v>
      </c>
      <c r="B59" s="3" t="inlineStr">
        <is>
          <t>№14 (Д)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3" t="n"/>
    </row>
    <row r="60">
      <c r="A60" s="3" t="n">
        <v>9</v>
      </c>
      <c r="B60" s="3" t="inlineStr">
        <is>
          <t>№14 (Д)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3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3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3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3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3" t="n"/>
    </row>
    <row r="65">
      <c r="A65" s="21" t="n"/>
      <c r="B65" s="8" t="inlineStr">
        <is>
          <t>ИТОГО</t>
        </is>
      </c>
      <c r="C65" s="21" t="n"/>
      <c r="D65" s="21" t="n"/>
      <c r="E65" s="21" t="n"/>
      <c r="F65" s="21" t="n"/>
      <c r="G65" s="8">
        <f>SUM(G52:G64)</f>
        <v/>
      </c>
      <c r="H65" s="22">
        <f>SUM(H52:H64)</f>
        <v/>
      </c>
      <c r="I65" s="22">
        <f>SUM(I52:I64)</f>
        <v/>
      </c>
      <c r="J65" s="23" t="n"/>
    </row>
    <row r="66">
      <c r="H66" s="23" t="n"/>
      <c r="I66" s="23" t="n"/>
      <c r="J66" s="23" t="n"/>
    </row>
    <row r="67">
      <c r="A67" s="18" t="inlineStr">
        <is>
          <t>3. Что поправлено в спецификации</t>
        </is>
      </c>
      <c r="H67" s="23" t="n"/>
      <c r="I67" s="23" t="n"/>
      <c r="J67" s="23" t="n"/>
    </row>
    <row r="68" ht="60" customHeight="1">
      <c r="A68" s="2" t="inlineStr">
        <is>
          <t>№</t>
        </is>
      </c>
      <c r="B68" s="2" t="inlineStr">
        <is>
          <t>Литер</t>
        </is>
      </c>
      <c r="C68" s="2" t="inlineStr">
        <is>
          <t>Марка</t>
        </is>
      </c>
      <c r="D68" s="2" t="inlineStr">
        <is>
          <t>Было, м²</t>
        </is>
      </c>
      <c r="E68" s="2" t="inlineStr">
        <is>
          <t>Стало (по КП), м²</t>
        </is>
      </c>
      <c r="F68" s="2" t="inlineStr">
        <is>
          <t>Разница, м²</t>
        </is>
      </c>
      <c r="H68" s="23" t="n"/>
      <c r="I68" s="23" t="n"/>
      <c r="J68" s="23" t="n"/>
    </row>
    <row r="69">
      <c r="A69" s="3" t="n">
        <v>1</v>
      </c>
      <c r="B69" s="3" t="inlineStr">
        <is>
          <t>А</t>
        </is>
      </c>
      <c r="C69" s="3" t="inlineStr">
        <is>
          <t>Вн-6</t>
        </is>
      </c>
      <c r="D69" s="4" t="n">
        <v>59.68</v>
      </c>
      <c r="E69" s="4" t="n">
        <v>59.76</v>
      </c>
      <c r="F69" s="4">
        <f>ROUND(E69-D69,2)</f>
        <v/>
      </c>
      <c r="H69" s="23" t="n"/>
      <c r="I69" s="23" t="n"/>
      <c r="J69" s="23" t="n"/>
    </row>
    <row r="70">
      <c r="A70" s="3" t="n">
        <v>2</v>
      </c>
      <c r="B70" s="3" t="inlineStr">
        <is>
          <t>А</t>
        </is>
      </c>
      <c r="C70" s="3" t="inlineStr">
        <is>
          <t>Вн-8</t>
        </is>
      </c>
      <c r="D70" s="4" t="n">
        <v>12.34</v>
      </c>
      <c r="E70" s="4" t="n">
        <v>12.34</v>
      </c>
      <c r="F70" s="4">
        <f>ROUND(E70-D70,2)</f>
        <v/>
      </c>
      <c r="H70" s="23" t="n"/>
      <c r="I70" s="23" t="n"/>
      <c r="J70" s="23" t="n"/>
    </row>
    <row r="71">
      <c r="A71" s="3" t="n">
        <v>3</v>
      </c>
      <c r="B71" s="3" t="inlineStr">
        <is>
          <t>А</t>
        </is>
      </c>
      <c r="C71" s="3" t="inlineStr">
        <is>
          <t>Вн-14</t>
        </is>
      </c>
      <c r="D71" s="4" t="n">
        <v>11.14</v>
      </c>
      <c r="E71" s="4" t="n">
        <v>11.14</v>
      </c>
      <c r="F71" s="4">
        <f>ROUND(E71-D71,2)</f>
        <v/>
      </c>
      <c r="H71" s="23" t="n"/>
      <c r="I71" s="23" t="n"/>
      <c r="J71" s="23" t="n"/>
    </row>
    <row r="72">
      <c r="A72" s="3" t="n">
        <v>4</v>
      </c>
      <c r="B72" s="3" t="inlineStr">
        <is>
          <t>А</t>
        </is>
      </c>
      <c r="C72" s="3" t="inlineStr">
        <is>
          <t>Вн-15</t>
        </is>
      </c>
      <c r="D72" s="4" t="n">
        <v>5.62</v>
      </c>
      <c r="E72" s="4" t="n">
        <v>5.62</v>
      </c>
      <c r="F72" s="4">
        <f>ROUND(E72-D72,2)</f>
        <v/>
      </c>
      <c r="H72" s="23" t="n"/>
      <c r="I72" s="23" t="n"/>
      <c r="J72" s="23" t="n"/>
    </row>
    <row r="73">
      <c r="A73" s="3" t="n">
        <v>5</v>
      </c>
      <c r="B73" s="3" t="inlineStr">
        <is>
          <t>А</t>
        </is>
      </c>
      <c r="C73" s="3" t="inlineStr">
        <is>
          <t>Вн-22</t>
        </is>
      </c>
      <c r="D73" s="4" t="n">
        <v>28.57</v>
      </c>
      <c r="E73" s="4" t="n">
        <v>28.57</v>
      </c>
      <c r="F73" s="4">
        <f>ROUND(E73-D73,2)</f>
        <v/>
      </c>
      <c r="H73" s="23" t="n"/>
      <c r="I73" s="23" t="n"/>
      <c r="J73" s="23" t="n"/>
    </row>
    <row r="74">
      <c r="A74" s="3" t="n">
        <v>6</v>
      </c>
      <c r="B74" s="3" t="inlineStr">
        <is>
          <t>Б</t>
        </is>
      </c>
      <c r="C74" s="3" t="inlineStr">
        <is>
          <t>Вн-6</t>
        </is>
      </c>
      <c r="D74" s="4" t="n">
        <v>59.86</v>
      </c>
      <c r="E74" s="4" t="n">
        <v>58.46</v>
      </c>
      <c r="F74" s="4">
        <f>ROUND(E74-D74,2)</f>
        <v/>
      </c>
      <c r="H74" s="23" t="n"/>
      <c r="I74" s="23" t="n"/>
      <c r="J74" s="23" t="n"/>
    </row>
    <row r="75">
      <c r="A75" s="3" t="n">
        <v>7</v>
      </c>
      <c r="B75" s="3" t="inlineStr">
        <is>
          <t>Б</t>
        </is>
      </c>
      <c r="C75" s="3" t="inlineStr">
        <is>
          <t>Вн-15</t>
        </is>
      </c>
      <c r="D75" s="4" t="n">
        <v>6</v>
      </c>
      <c r="E75" s="4" t="n">
        <v>6</v>
      </c>
      <c r="F75" s="4">
        <f>ROUND(E75-D75,2)</f>
        <v/>
      </c>
      <c r="H75" s="23" t="n"/>
      <c r="I75" s="23" t="n"/>
      <c r="J75" s="23" t="n"/>
    </row>
    <row r="76">
      <c r="A76" s="3" t="n">
        <v>8</v>
      </c>
      <c r="B76" s="3" t="inlineStr">
        <is>
          <t>Б</t>
        </is>
      </c>
      <c r="C76" s="3" t="inlineStr">
        <is>
          <t>Вн-17</t>
        </is>
      </c>
      <c r="D76" s="4" t="n">
        <v>19.49</v>
      </c>
      <c r="E76" s="4" t="n">
        <v>19.49</v>
      </c>
      <c r="F76" s="4">
        <f>ROUND(E76-D76,2)</f>
        <v/>
      </c>
      <c r="H76" s="23" t="n"/>
      <c r="I76" s="23" t="n"/>
      <c r="J76" s="23" t="n"/>
    </row>
    <row r="77">
      <c r="A77" s="3" t="n">
        <v>9</v>
      </c>
      <c r="B77" s="3" t="inlineStr">
        <is>
          <t>Б</t>
        </is>
      </c>
      <c r="C77" s="3" t="inlineStr">
        <is>
          <t>Вн-18</t>
        </is>
      </c>
      <c r="D77" s="4" t="n">
        <v>11.9</v>
      </c>
      <c r="E77" s="4" t="n">
        <v>11.9</v>
      </c>
      <c r="F77" s="4">
        <f>ROUND(E77-D77,2)</f>
        <v/>
      </c>
      <c r="H77" s="23" t="n"/>
      <c r="I77" s="23" t="n"/>
      <c r="J77" s="23" t="n"/>
    </row>
    <row r="78">
      <c r="A78" s="3" t="n">
        <v>10</v>
      </c>
      <c r="B78" s="3" t="inlineStr">
        <is>
          <t>Б</t>
        </is>
      </c>
      <c r="C78" s="3" t="inlineStr">
        <is>
          <t>Вн-22</t>
        </is>
      </c>
      <c r="D78" s="4" t="n">
        <v>28.57</v>
      </c>
      <c r="E78" s="4" t="n">
        <v>28.57</v>
      </c>
      <c r="F78" s="4">
        <f>ROUND(E78-D78,2)</f>
        <v/>
      </c>
      <c r="H78" s="23" t="n"/>
      <c r="I78" s="23" t="n"/>
      <c r="J78" s="23" t="n"/>
    </row>
    <row r="79">
      <c r="A79" s="3" t="n">
        <v>11</v>
      </c>
      <c r="B79" s="3" t="inlineStr">
        <is>
          <t>В</t>
        </is>
      </c>
      <c r="C79" s="3" t="inlineStr">
        <is>
          <t>Вн-6</t>
        </is>
      </c>
      <c r="D79" s="4" t="n">
        <v>19.63</v>
      </c>
      <c r="E79" s="4" t="n">
        <v>19.63</v>
      </c>
      <c r="F79" s="4">
        <f>ROUND(E79-D79,2)</f>
        <v/>
      </c>
      <c r="H79" s="23" t="n"/>
      <c r="I79" s="23" t="n"/>
      <c r="J79" s="23" t="n"/>
    </row>
    <row r="80">
      <c r="A80" s="3" t="n">
        <v>12</v>
      </c>
      <c r="B80" s="3" t="inlineStr">
        <is>
          <t>В</t>
        </is>
      </c>
      <c r="C80" s="3" t="inlineStr">
        <is>
          <t>Вн-13</t>
        </is>
      </c>
      <c r="D80" s="4" t="n">
        <v>14.74</v>
      </c>
      <c r="E80" s="4" t="n">
        <v>14.74</v>
      </c>
      <c r="F80" s="4">
        <f>ROUND(E80-D80,2)</f>
        <v/>
      </c>
      <c r="H80" s="23" t="n"/>
      <c r="I80" s="23" t="n"/>
      <c r="J80" s="23" t="n"/>
    </row>
    <row r="81">
      <c r="A81" s="3" t="n">
        <v>13</v>
      </c>
      <c r="B81" s="3" t="inlineStr">
        <is>
          <t>В</t>
        </is>
      </c>
      <c r="C81" s="3" t="inlineStr">
        <is>
          <t>Вн-16</t>
        </is>
      </c>
      <c r="D81" s="4" t="n">
        <v>18.57</v>
      </c>
      <c r="E81" s="4" t="n">
        <v>18.57</v>
      </c>
      <c r="F81" s="4">
        <f>ROUND(E81-D81,2)</f>
        <v/>
      </c>
      <c r="H81" s="23" t="n"/>
      <c r="I81" s="23" t="n"/>
      <c r="J81" s="23" t="n"/>
    </row>
    <row r="82">
      <c r="A82" s="3" t="n">
        <v>14</v>
      </c>
      <c r="B82" s="3" t="inlineStr">
        <is>
          <t>В</t>
        </is>
      </c>
      <c r="C82" s="3" t="inlineStr">
        <is>
          <t>Вн-17</t>
        </is>
      </c>
      <c r="D82" s="4" t="n">
        <v>19.68</v>
      </c>
      <c r="E82" s="4" t="n">
        <v>19.68</v>
      </c>
      <c r="F82" s="4">
        <f>ROUND(E82-D82,2)</f>
        <v/>
      </c>
      <c r="H82" s="23" t="n"/>
      <c r="I82" s="23" t="n"/>
      <c r="J82" s="23" t="n"/>
    </row>
    <row r="83">
      <c r="A83" s="3" t="n">
        <v>15</v>
      </c>
      <c r="B83" s="3" t="inlineStr">
        <is>
          <t>В</t>
        </is>
      </c>
      <c r="C83" s="3" t="inlineStr">
        <is>
          <t>Вн-19</t>
        </is>
      </c>
      <c r="D83" s="4" t="n">
        <v>24.67</v>
      </c>
      <c r="E83" s="4" t="n">
        <v>24.67</v>
      </c>
      <c r="F83" s="4">
        <f>ROUND(E83-D83,2)</f>
        <v/>
      </c>
      <c r="H83" s="23" t="n"/>
      <c r="I83" s="23" t="n"/>
      <c r="J83" s="23" t="n"/>
    </row>
    <row r="84">
      <c r="A84" s="3" t="n">
        <v>16</v>
      </c>
      <c r="B84" s="3" t="inlineStr">
        <is>
          <t>В</t>
        </is>
      </c>
      <c r="C84" s="3" t="inlineStr">
        <is>
          <t>Вн-22</t>
        </is>
      </c>
      <c r="D84" s="4" t="n">
        <v>5.71</v>
      </c>
      <c r="E84" s="4" t="n">
        <v>5.71</v>
      </c>
      <c r="F84" s="4">
        <f>ROUND(E84-D84,2)</f>
        <v/>
      </c>
      <c r="H84" s="23" t="n"/>
      <c r="I84" s="23" t="n"/>
      <c r="J84" s="23" t="n"/>
    </row>
    <row r="85">
      <c r="A85" s="3" t="n">
        <v>17</v>
      </c>
      <c r="B85" s="3" t="inlineStr">
        <is>
          <t>Г</t>
        </is>
      </c>
      <c r="C85" s="3" t="inlineStr">
        <is>
          <t>Вн-6</t>
        </is>
      </c>
      <c r="D85" s="4" t="n">
        <v>60.31</v>
      </c>
      <c r="E85" s="4" t="n">
        <v>61.63</v>
      </c>
      <c r="F85" s="4">
        <f>ROUND(E85-D85,2)</f>
        <v/>
      </c>
      <c r="H85" s="23" t="n"/>
      <c r="I85" s="23" t="n"/>
      <c r="J85" s="23" t="n"/>
    </row>
    <row r="86">
      <c r="A86" s="3" t="n">
        <v>18</v>
      </c>
      <c r="B86" s="3" t="inlineStr">
        <is>
          <t>Г</t>
        </is>
      </c>
      <c r="C86" s="3" t="inlineStr">
        <is>
          <t>Вн-10</t>
        </is>
      </c>
      <c r="D86" s="4" t="n">
        <v>19.97</v>
      </c>
      <c r="E86" s="4" t="n">
        <v>19.97</v>
      </c>
      <c r="F86" s="4">
        <f>ROUND(E86-D86,2)</f>
        <v/>
      </c>
      <c r="H86" s="23" t="n"/>
      <c r="I86" s="23" t="n"/>
      <c r="J86" s="23" t="n"/>
    </row>
    <row r="87">
      <c r="A87" s="3" t="n">
        <v>19</v>
      </c>
      <c r="B87" s="3" t="inlineStr">
        <is>
          <t>Г</t>
        </is>
      </c>
      <c r="C87" s="3" t="inlineStr">
        <is>
          <t>Вн-11</t>
        </is>
      </c>
      <c r="D87" s="4" t="n">
        <v>11.09</v>
      </c>
      <c r="E87" s="4" t="n">
        <v>11.09</v>
      </c>
      <c r="F87" s="4">
        <f>ROUND(E87-D87,2)</f>
        <v/>
      </c>
      <c r="H87" s="23" t="n"/>
      <c r="I87" s="23" t="n"/>
      <c r="J87" s="23" t="n"/>
    </row>
    <row r="88">
      <c r="A88" s="3" t="n">
        <v>20</v>
      </c>
      <c r="B88" s="3" t="inlineStr">
        <is>
          <t>Г</t>
        </is>
      </c>
      <c r="C88" s="3" t="inlineStr">
        <is>
          <t>Вн-12</t>
        </is>
      </c>
      <c r="D88" s="4" t="n">
        <v>15.6</v>
      </c>
      <c r="E88" s="4" t="n">
        <v>15.6</v>
      </c>
      <c r="F88" s="4">
        <f>ROUND(E88-D88,2)</f>
        <v/>
      </c>
      <c r="H88" s="23" t="n"/>
      <c r="I88" s="23" t="n"/>
      <c r="J88" s="23" t="n"/>
    </row>
    <row r="89">
      <c r="A89" s="3" t="n">
        <v>21</v>
      </c>
      <c r="B89" s="3" t="inlineStr">
        <is>
          <t>Г</t>
        </is>
      </c>
      <c r="C89" s="3" t="inlineStr">
        <is>
          <t>Вн-17</t>
        </is>
      </c>
      <c r="D89" s="4" t="n">
        <v>19.82</v>
      </c>
      <c r="E89" s="4" t="n">
        <v>19.82</v>
      </c>
      <c r="F89" s="4">
        <f>ROUND(E89-D89,2)</f>
        <v/>
      </c>
      <c r="H89" s="23" t="n"/>
      <c r="I89" s="23" t="n"/>
      <c r="J89" s="23" t="n"/>
    </row>
    <row r="90">
      <c r="A90" s="3" t="n">
        <v>22</v>
      </c>
      <c r="B90" s="3" t="inlineStr">
        <is>
          <t>Г</t>
        </is>
      </c>
      <c r="C90" s="3" t="inlineStr">
        <is>
          <t>Вн-20</t>
        </is>
      </c>
      <c r="D90" s="4" t="n">
        <v>18.43</v>
      </c>
      <c r="E90" s="4" t="n">
        <v>18.43</v>
      </c>
      <c r="F90" s="4">
        <f>ROUND(E90-D90,2)</f>
        <v/>
      </c>
      <c r="H90" s="23" t="n"/>
      <c r="I90" s="23" t="n"/>
      <c r="J90" s="23" t="n"/>
    </row>
    <row r="91">
      <c r="A91" s="3" t="n">
        <v>23</v>
      </c>
      <c r="B91" s="3" t="inlineStr">
        <is>
          <t>Г</t>
        </is>
      </c>
      <c r="C91" s="3" t="inlineStr">
        <is>
          <t>Вн-21</t>
        </is>
      </c>
      <c r="D91" s="4" t="n">
        <v>14.02</v>
      </c>
      <c r="E91" s="4" t="n">
        <v>14.02</v>
      </c>
      <c r="F91" s="4">
        <f>ROUND(E91-D91,2)</f>
        <v/>
      </c>
      <c r="H91" s="23" t="n"/>
      <c r="I91" s="23" t="n"/>
      <c r="J91" s="23" t="n"/>
    </row>
    <row r="92">
      <c r="A92" s="3" t="n">
        <v>24</v>
      </c>
      <c r="B92" s="3" t="inlineStr">
        <is>
          <t>Д</t>
        </is>
      </c>
      <c r="C92" s="3" t="inlineStr">
        <is>
          <t>Вн-6</t>
        </is>
      </c>
      <c r="D92" s="4" t="n">
        <v>39.98</v>
      </c>
      <c r="E92" s="4" t="n">
        <v>39.98</v>
      </c>
      <c r="F92" s="4">
        <f>ROUND(E92-D92,2)</f>
        <v/>
      </c>
      <c r="H92" s="23" t="n"/>
      <c r="I92" s="23" t="n"/>
      <c r="J92" s="23" t="n"/>
    </row>
    <row r="93">
      <c r="A93" s="3" t="n">
        <v>25</v>
      </c>
      <c r="B93" s="3" t="inlineStr">
        <is>
          <t>Д</t>
        </is>
      </c>
      <c r="C93" s="3" t="inlineStr">
        <is>
          <t>Вн-7</t>
        </is>
      </c>
      <c r="D93" s="4" t="n">
        <v>19.97</v>
      </c>
      <c r="E93" s="4" t="n">
        <v>19.97</v>
      </c>
      <c r="F93" s="4">
        <f>ROUND(E93-D93,2)</f>
        <v/>
      </c>
      <c r="H93" s="23" t="n"/>
      <c r="I93" s="23" t="n"/>
      <c r="J93" s="23" t="n"/>
    </row>
    <row r="94">
      <c r="A94" s="3" t="n">
        <v>26</v>
      </c>
      <c r="B94" s="3" t="inlineStr">
        <is>
          <t>Д</t>
        </is>
      </c>
      <c r="C94" s="3" t="inlineStr">
        <is>
          <t>Вн-9</t>
        </is>
      </c>
      <c r="D94" s="4" t="n">
        <v>19.68</v>
      </c>
      <c r="E94" s="4" t="n">
        <v>19.68</v>
      </c>
      <c r="F94" s="4">
        <f>ROUND(E94-D94,2)</f>
        <v/>
      </c>
      <c r="H94" s="23" t="n"/>
      <c r="I94" s="23" t="n"/>
      <c r="J94" s="23" t="n"/>
    </row>
    <row r="95">
      <c r="A95" s="3" t="n">
        <v>27</v>
      </c>
      <c r="B95" s="3" t="inlineStr">
        <is>
          <t>Д</t>
        </is>
      </c>
      <c r="C95" s="3" t="inlineStr">
        <is>
          <t>Вн-17</t>
        </is>
      </c>
      <c r="D95" s="4" t="n">
        <v>18.14</v>
      </c>
      <c r="E95" s="4" t="n">
        <v>18.14</v>
      </c>
      <c r="F95" s="4">
        <f>ROUND(E95-D95,2)</f>
        <v/>
      </c>
      <c r="H95" s="23" t="n"/>
      <c r="I95" s="23" t="n"/>
      <c r="J95" s="23" t="n"/>
    </row>
    <row r="96">
      <c r="A96" s="21" t="n"/>
      <c r="B96" s="8" t="inlineStr">
        <is>
          <t>ИТОГО</t>
        </is>
      </c>
      <c r="C96" s="21" t="n"/>
      <c r="D96" s="22">
        <f>SUM(D69:D95)</f>
        <v/>
      </c>
      <c r="E96" s="22">
        <f>SUM(E69:E95)</f>
        <v/>
      </c>
      <c r="F96" s="22">
        <f>SUM(F69:F95)</f>
        <v/>
      </c>
      <c r="H96" s="23" t="n"/>
      <c r="I96" s="23" t="n"/>
      <c r="J96" s="23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2026-09-28T07:56:31Z</dcterms:created>
  <dcterms:modified xmlns:dcterms="http://purl.org/dc/terms/" xmlns:xsi="http://www.w3.org/2001/XMLSchema-instance" xsi:type="dcterms:W3CDTF">2026-09-28T07:56:31Z</dcterms:modified>
</cp:coreProperties>
</file>