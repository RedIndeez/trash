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ецификация" sheetId="1" state="visible" r:id="rId1"/>
    <sheet name="По литерам" sheetId="2" state="visible" r:id="rId2"/>
    <sheet name="Привязка к чертежам" sheetId="3" state="visible" r:id="rId3"/>
    <sheet name="В КП, не вошло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3</v>
      </c>
      <c r="G4" s="3" t="n">
        <v>3</v>
      </c>
      <c r="H4" s="3" t="n">
        <v>1</v>
      </c>
      <c r="I4" s="3" t="n">
        <v>3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1 шт. по КП Г + по 1 шт. из КП лит. А и Б (там в КП по 4, на чертеже по 3)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3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59.68</v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ROUND(G6/F6,2)</f>
        <v/>
      </c>
      <c r="F6" s="3" t="n">
        <v>1</v>
      </c>
      <c r="G6" s="5" t="n">
        <v>12.34</v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ROUND(G7/F7,2)</f>
        <v/>
      </c>
      <c r="F7" s="3" t="n">
        <v>1</v>
      </c>
      <c r="G7" s="5" t="n">
        <v>11.14</v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ROUND(G8/F8,2)</f>
        <v/>
      </c>
      <c r="F8" s="3" t="n">
        <v>1</v>
      </c>
      <c r="G8" s="5" t="n">
        <v>5.62</v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ROUND(G9/F9,2)</f>
        <v/>
      </c>
      <c r="F9" s="3" t="n">
        <v>5</v>
      </c>
      <c r="G9" s="5" t="n">
        <v>28.57</v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2" t="inlineStr">
        <is>
          <t>Литер Б</t>
        </is>
      </c>
      <c r="C11" s="13" t="n"/>
      <c r="D11" s="13" t="n"/>
      <c r="E11" s="14" t="n"/>
      <c r="F11" s="13" t="n"/>
      <c r="G11" s="15" t="n"/>
      <c r="H11" s="13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ROUND(G12/F12,2)</f>
        <v/>
      </c>
      <c r="F12" s="3" t="n">
        <v>3</v>
      </c>
      <c r="G12" s="5" t="n">
        <v>59.86</v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ROUND(G13/F13,2)</f>
        <v/>
      </c>
      <c r="F13" s="3" t="n">
        <v>1</v>
      </c>
      <c r="G13" s="5" t="n">
        <v>6</v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19.49</v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ROUND(G15/F15,2)</f>
        <v/>
      </c>
      <c r="F15" s="3" t="n">
        <v>1</v>
      </c>
      <c r="G15" s="5" t="n">
        <v>11.9</v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ROUND(G16/F16,2)</f>
        <v/>
      </c>
      <c r="F16" s="3" t="n">
        <v>5</v>
      </c>
      <c r="G16" s="5" t="n">
        <v>28.57</v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2" t="inlineStr">
        <is>
          <t>Литер В</t>
        </is>
      </c>
      <c r="C18" s="13" t="n"/>
      <c r="D18" s="13" t="n"/>
      <c r="E18" s="14" t="n"/>
      <c r="F18" s="13" t="n"/>
      <c r="G18" s="15" t="n"/>
      <c r="H18" s="13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ROUND(G19/F19,2)</f>
        <v/>
      </c>
      <c r="F19" s="3" t="n">
        <v>1</v>
      </c>
      <c r="G19" s="5" t="n">
        <v>19.63</v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ROUND(G20/F20,2)</f>
        <v/>
      </c>
      <c r="F20" s="3" t="n">
        <v>1</v>
      </c>
      <c r="G20" s="5" t="n">
        <v>14.74</v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ROUND(G21/F21,2)</f>
        <v/>
      </c>
      <c r="F21" s="3" t="n">
        <v>3</v>
      </c>
      <c r="G21" s="5" t="n">
        <v>18.57</v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ROUND(G22/F22,2)</f>
        <v/>
      </c>
      <c r="F22" s="3" t="n">
        <v>1</v>
      </c>
      <c r="G22" s="5" t="n">
        <v>19.68</v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ROUND(G23/F23,2)</f>
        <v/>
      </c>
      <c r="F23" s="3" t="n">
        <v>2</v>
      </c>
      <c r="G23" s="5" t="n">
        <v>24.67</v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ROUND(G24/F24,2)</f>
        <v/>
      </c>
      <c r="F24" s="3" t="n">
        <v>1</v>
      </c>
      <c r="G24" s="5" t="n">
        <v>5.71</v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2" t="inlineStr">
        <is>
          <t>Литер Г</t>
        </is>
      </c>
      <c r="C26" s="13" t="n"/>
      <c r="D26" s="13" t="n"/>
      <c r="E26" s="14" t="n"/>
      <c r="F26" s="13" t="n"/>
      <c r="G26" s="15" t="n"/>
      <c r="H26" s="13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ROUND(G27/F27,2)</f>
        <v/>
      </c>
      <c r="F27" s="3" t="n">
        <v>1</v>
      </c>
      <c r="G27" s="5" t="n">
        <v>20.45</v>
      </c>
      <c r="H27" s="3" t="inlineStr">
        <is>
          <t>-6.000</t>
        </is>
      </c>
    </row>
    <row r="28">
      <c r="A28" s="3" t="n">
        <v>18</v>
      </c>
      <c r="B28" s="3" t="inlineStr">
        <is>
          <t>Вн-6 (из КП лит. А)</t>
        </is>
      </c>
      <c r="C28" s="3" t="n">
        <v>4200</v>
      </c>
      <c r="D28" s="3" t="n">
        <v>4820</v>
      </c>
      <c r="E28" s="4">
        <f>ROUND(G28/F28,2)</f>
        <v/>
      </c>
      <c r="F28" s="3" t="n">
        <v>1</v>
      </c>
      <c r="G28" s="5" t="n">
        <v>19.9</v>
      </c>
      <c r="H28" s="3" t="inlineStr">
        <is>
          <t>-6.000</t>
        </is>
      </c>
    </row>
    <row r="29">
      <c r="A29" s="3" t="n">
        <v>19</v>
      </c>
      <c r="B29" s="3" t="inlineStr">
        <is>
          <t>Вн-6 (из КП лит. Б)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19.96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SUM(F27:F35)</f>
        <v/>
      </c>
      <c r="G36" s="10">
        <f>SUM(G27:G35)</f>
        <v/>
      </c>
      <c r="H36" s="7" t="n"/>
    </row>
    <row r="37">
      <c r="A37" s="3" t="n"/>
      <c r="B37" s="12" t="inlineStr">
        <is>
          <t>Литер Д</t>
        </is>
      </c>
      <c r="C37" s="13" t="n"/>
      <c r="D37" s="13" t="n"/>
      <c r="E37" s="14" t="n"/>
      <c r="F37" s="13" t="n"/>
      <c r="G37" s="15" t="n"/>
      <c r="H37" s="13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16" t="inlineStr">
        <is>
          <t>ВСЕГО</t>
        </is>
      </c>
      <c r="C43" s="3" t="n"/>
      <c r="D43" s="3" t="n"/>
      <c r="E43" s="4" t="n"/>
      <c r="F43" s="16">
        <f>F10+F17+F25+F36+F42</f>
        <v/>
      </c>
      <c r="G43" s="17">
        <f>G10+G17+G25+G36+G42</f>
        <v/>
      </c>
      <c r="H43" s="3" t="n"/>
    </row>
  </sheetData>
  <mergeCells count="5">
    <mergeCell ref="B26:H26"/>
    <mergeCell ref="B18:H18"/>
    <mergeCell ref="B4:H4"/>
    <mergeCell ref="B11:H11"/>
    <mergeCell ref="B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8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  <c r="H24" s="3" t="inlineStr">
        <is>
          <t>да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  <c r="H25" s="3" t="inlineStr">
        <is>
          <t>да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  <c r="H26" s="3" t="inlineStr">
        <is>
          <t>да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19" t="n">
        <v>79305</v>
      </c>
      <c r="G44" s="19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19" t="n">
        <v>72445</v>
      </c>
      <c r="G45" s="19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64804</v>
      </c>
      <c r="G46" s="19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59604</v>
      </c>
      <c r="G47" s="19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53064</v>
      </c>
      <c r="G48" s="19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19" t="n">
        <v>45611</v>
      </c>
      <c r="G49" s="19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19" t="n">
        <v>39399</v>
      </c>
      <c r="G50" s="19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19" t="n">
        <v>33459</v>
      </c>
      <c r="G51" s="19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19" t="n">
        <v>26027</v>
      </c>
      <c r="G52" s="19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2026-09-28T07:50:34Z</dcterms:created>
  <dcterms:modified xsi:type="dcterms:W3CDTF">2026-09-28T07:50:34Z</dcterms:modified>
</cp:coreProperties>
</file>