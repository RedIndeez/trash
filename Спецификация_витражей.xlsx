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Спецификация" sheetId="1" state="visible" r:id="rId1"/>
    <sheet name="По литерам" sheetId="2" state="visible" r:id="rId2"/>
    <sheet name="Привязка к чертежам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sz val="12"/>
    </font>
    <font>
      <b val="1"/>
    </font>
  </fonts>
  <fills count="4">
    <fill>
      <patternFill/>
    </fill>
    <fill>
      <patternFill patternType="gray125"/>
    </fill>
    <fill>
      <patternFill patternType="solid">
        <fgColor rgb="00DDEBF7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2" fontId="0" fillId="0" borderId="1" applyAlignment="1" pivotButton="0" quotePrefix="0" xfId="0">
      <alignment horizontal="center" vertical="center" wrapText="1"/>
    </xf>
    <xf numFmtId="4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center" wrapText="1"/>
    </xf>
    <xf numFmtId="0" fontId="0" fillId="3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2" fontId="0" fillId="3" borderId="1" applyAlignment="1" pivotButton="0" quotePrefix="0" xfId="0">
      <alignment horizontal="center" vertical="center" wrapText="1"/>
    </xf>
    <xf numFmtId="4" fontId="2" fillId="3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vertical="center" wrapText="1"/>
    </xf>
    <xf numFmtId="0" fontId="2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4" fontId="0" fillId="0" borderId="1" pivotButton="0" quotePrefix="0" xfId="0"/>
    <xf numFmtId="0" fontId="2" fillId="0" borderId="1" applyAlignment="1" pivotButton="0" quotePrefix="0" xfId="0">
      <alignment horizontal="center" vertical="center" wrapText="1"/>
    </xf>
    <xf numFmtId="4" fontId="2" fillId="0" borderId="1" applyAlignment="1" pivotButton="0" quotePrefix="0" xfId="0">
      <alignment horizontal="center" vertical="center" wrapText="1"/>
    </xf>
    <xf numFmtId="0" fontId="2" fillId="0" borderId="0" pivotButton="0" quotePrefix="0" xfId="0"/>
    <xf numFmtId="3" fontId="0" fillId="0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O23"/>
  <sheetViews>
    <sheetView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8" customWidth="1" min="2" max="2"/>
    <col width="9" customWidth="1" min="3" max="3"/>
    <col width="9" customWidth="1" min="4" max="4"/>
    <col width="10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8" customWidth="1" min="11" max="11"/>
    <col width="11" customWidth="1" min="12" max="12"/>
    <col width="10" customWidth="1" min="13" max="13"/>
    <col width="13" customWidth="1" min="14" max="14"/>
    <col width="34" customWidth="1" min="15" max="15"/>
  </cols>
  <sheetData>
    <row r="1">
      <c r="A1" s="1" t="inlineStr">
        <is>
          <t>Спецификация витражей (по планам на отм. -6.000 и 0.000, марки выделены красным) — только позиции, входящие в КП</t>
        </is>
      </c>
    </row>
    <row r="3" ht="62" customHeight="1">
      <c r="A3" s="2" t="inlineStr">
        <is>
          <t>№</t>
        </is>
      </c>
      <c r="B3" s="2" t="inlineStr">
        <is>
          <t>Марка</t>
        </is>
      </c>
      <c r="C3" s="2" t="inlineStr">
        <is>
          <t>Длина, мм</t>
        </is>
      </c>
      <c r="D3" s="2" t="inlineStr">
        <is>
          <t>Высота, мм</t>
        </is>
      </c>
      <c r="E3" s="2" t="inlineStr">
        <is>
          <t>Площадь 1 шт, м²</t>
        </is>
      </c>
      <c r="F3" s="2" t="inlineStr">
        <is>
          <t>Литер А</t>
        </is>
      </c>
      <c r="G3" s="2" t="inlineStr">
        <is>
          <t>Литер Б</t>
        </is>
      </c>
      <c r="H3" s="2" t="inlineStr">
        <is>
          <t>Литер В</t>
        </is>
      </c>
      <c r="I3" s="2" t="inlineStr">
        <is>
          <t>Литер Г</t>
        </is>
      </c>
      <c r="J3" s="2" t="inlineStr">
        <is>
          <t>Литер Д</t>
        </is>
      </c>
      <c r="K3" s="2" t="inlineStr">
        <is>
          <t>Всего, шт</t>
        </is>
      </c>
      <c r="L3" s="2" t="inlineStr">
        <is>
          <t>Площадь всего, м²</t>
        </is>
      </c>
      <c r="M3" s="2" t="inlineStr">
        <is>
          <t>Отметка</t>
        </is>
      </c>
      <c r="N3" s="2" t="inlineStr">
        <is>
          <t>Дверь в составе (по чертежу)</t>
        </is>
      </c>
      <c r="O3" s="2" t="inlineStr">
        <is>
          <t>Примечание</t>
        </is>
      </c>
    </row>
    <row r="4">
      <c r="A4" s="3" t="n">
        <v>1</v>
      </c>
      <c r="B4" s="3" t="inlineStr">
        <is>
          <t>Вн-6</t>
        </is>
      </c>
      <c r="C4" s="3" t="n">
        <v>4200</v>
      </c>
      <c r="D4" s="3" t="n">
        <v>4820</v>
      </c>
      <c r="E4" s="4">
        <f>ROUND(C4*D4/1000000,2)</f>
        <v/>
      </c>
      <c r="F4" s="3" t="n">
        <v>3</v>
      </c>
      <c r="G4" s="3" t="n">
        <v>3</v>
      </c>
      <c r="H4" s="3" t="n">
        <v>1</v>
      </c>
      <c r="I4" s="3" t="n">
        <v>1</v>
      </c>
      <c r="J4" s="3" t="n">
        <v>2</v>
      </c>
      <c r="K4" s="3">
        <f>SUM(F4:J4)</f>
        <v/>
      </c>
      <c r="L4" s="5">
        <f>ROUND(K4*E4,2)</f>
        <v/>
      </c>
      <c r="M4" s="3" t="inlineStr">
        <is>
          <t>-6.000</t>
        </is>
      </c>
      <c r="N4" s="6" t="inlineStr">
        <is>
          <t>Д17*</t>
        </is>
      </c>
      <c r="O4" s="6" t="inlineStr">
        <is>
          <t>Лит. Г: на чертеже 3 шт., в КП 1</t>
        </is>
      </c>
    </row>
    <row r="5">
      <c r="A5" s="3" t="n">
        <v>2</v>
      </c>
      <c r="B5" s="3" t="inlineStr">
        <is>
          <t>Вн-7</t>
        </is>
      </c>
      <c r="C5" s="3" t="n">
        <v>3020</v>
      </c>
      <c r="D5" s="3" t="n">
        <v>4820</v>
      </c>
      <c r="E5" s="4">
        <f>ROUND(C5*D5/1000000,2)</f>
        <v/>
      </c>
      <c r="F5" s="3" t="n"/>
      <c r="G5" s="3" t="n"/>
      <c r="H5" s="3" t="n"/>
      <c r="I5" s="3" t="n"/>
      <c r="J5" s="3" t="n">
        <v>1</v>
      </c>
      <c r="K5" s="3">
        <f>SUM(F5:J5)</f>
        <v/>
      </c>
      <c r="L5" s="5">
        <f>ROUND(K5*E5,2)</f>
        <v/>
      </c>
      <c r="M5" s="3" t="inlineStr">
        <is>
          <t>-6.000</t>
        </is>
      </c>
      <c r="N5" s="6" t="inlineStr"/>
      <c r="O5" s="6" t="inlineStr"/>
    </row>
    <row r="6">
      <c r="A6" s="3" t="n">
        <v>3</v>
      </c>
      <c r="B6" s="3" t="inlineStr">
        <is>
          <t>Вн-8</t>
        </is>
      </c>
      <c r="C6" s="3" t="n">
        <v>2600</v>
      </c>
      <c r="D6" s="3" t="n">
        <v>4820</v>
      </c>
      <c r="E6" s="4">
        <f>ROUND(C6*D6/1000000,2)</f>
        <v/>
      </c>
      <c r="F6" s="3" t="n">
        <v>1</v>
      </c>
      <c r="G6" s="3" t="n"/>
      <c r="H6" s="3" t="n"/>
      <c r="I6" s="3" t="n"/>
      <c r="J6" s="3" t="n"/>
      <c r="K6" s="3">
        <f>SUM(F6:J6)</f>
        <v/>
      </c>
      <c r="L6" s="5">
        <f>ROUND(K6*E6,2)</f>
        <v/>
      </c>
      <c r="M6" s="3" t="inlineStr">
        <is>
          <t>-6.000</t>
        </is>
      </c>
      <c r="N6" s="6" t="inlineStr"/>
      <c r="O6" s="6" t="inlineStr"/>
    </row>
    <row r="7">
      <c r="A7" s="3" t="n">
        <v>4</v>
      </c>
      <c r="B7" s="3" t="inlineStr">
        <is>
          <t>Вн-9</t>
        </is>
      </c>
      <c r="C7" s="3" t="n">
        <v>3870</v>
      </c>
      <c r="D7" s="3" t="n">
        <v>4820</v>
      </c>
      <c r="E7" s="4">
        <f>ROUND(C7*D7/1000000,2)</f>
        <v/>
      </c>
      <c r="F7" s="3" t="n"/>
      <c r="G7" s="3" t="n"/>
      <c r="H7" s="3" t="n"/>
      <c r="I7" s="3" t="n"/>
      <c r="J7" s="3" t="n">
        <v>1</v>
      </c>
      <c r="K7" s="3">
        <f>SUM(F7:J7)</f>
        <v/>
      </c>
      <c r="L7" s="5">
        <f>ROUND(K7*E7,2)</f>
        <v/>
      </c>
      <c r="M7" s="3" t="inlineStr">
        <is>
          <t>-6.000</t>
        </is>
      </c>
      <c r="N7" s="6" t="inlineStr">
        <is>
          <t>Д17*</t>
        </is>
      </c>
      <c r="O7" s="6" t="inlineStr"/>
    </row>
    <row r="8">
      <c r="A8" s="3" t="n">
        <v>5</v>
      </c>
      <c r="B8" s="3" t="inlineStr">
        <is>
          <t>Вн-10</t>
        </is>
      </c>
      <c r="C8" s="3" t="n">
        <v>4160</v>
      </c>
      <c r="D8" s="3" t="n">
        <v>4820</v>
      </c>
      <c r="E8" s="4">
        <f>ROUND(C8*D8/1000000,2)</f>
        <v/>
      </c>
      <c r="F8" s="3" t="n"/>
      <c r="G8" s="3" t="n"/>
      <c r="H8" s="3" t="n"/>
      <c r="I8" s="3" t="n">
        <v>1</v>
      </c>
      <c r="J8" s="3" t="n"/>
      <c r="K8" s="3">
        <f>SUM(F8:J8)</f>
        <v/>
      </c>
      <c r="L8" s="5">
        <f>ROUND(K8*E8,2)</f>
        <v/>
      </c>
      <c r="M8" s="3" t="inlineStr">
        <is>
          <t>-6.000</t>
        </is>
      </c>
      <c r="N8" s="6" t="inlineStr">
        <is>
          <t>Д17*</t>
        </is>
      </c>
      <c r="O8" s="6" t="inlineStr"/>
    </row>
    <row r="9">
      <c r="A9" s="3" t="n">
        <v>6</v>
      </c>
      <c r="B9" s="3" t="inlineStr">
        <is>
          <t>Вн-11</t>
        </is>
      </c>
      <c r="C9" s="3" t="n">
        <v>2450</v>
      </c>
      <c r="D9" s="3" t="n">
        <v>4820</v>
      </c>
      <c r="E9" s="4">
        <f>ROUND(C9*D9/1000000,2)</f>
        <v/>
      </c>
      <c r="F9" s="3" t="n"/>
      <c r="G9" s="3" t="n"/>
      <c r="H9" s="3" t="n"/>
      <c r="I9" s="3" t="n">
        <v>1</v>
      </c>
      <c r="J9" s="3" t="n"/>
      <c r="K9" s="3">
        <f>SUM(F9:J9)</f>
        <v/>
      </c>
      <c r="L9" s="5">
        <f>ROUND(K9*E9,2)</f>
        <v/>
      </c>
      <c r="M9" s="3" t="inlineStr">
        <is>
          <t>-6.000</t>
        </is>
      </c>
      <c r="N9" s="6" t="inlineStr"/>
      <c r="O9" s="6" t="inlineStr"/>
    </row>
    <row r="10">
      <c r="A10" s="3" t="n">
        <v>7</v>
      </c>
      <c r="B10" s="3" t="inlineStr">
        <is>
          <t>Вн-12</t>
        </is>
      </c>
      <c r="C10" s="3" t="n">
        <v>3370</v>
      </c>
      <c r="D10" s="3" t="n">
        <v>4820</v>
      </c>
      <c r="E10" s="4">
        <f>ROUND(C10*D10/1000000,2)</f>
        <v/>
      </c>
      <c r="F10" s="3" t="n"/>
      <c r="G10" s="3" t="n"/>
      <c r="H10" s="3" t="n"/>
      <c r="I10" s="3" t="n">
        <v>1</v>
      </c>
      <c r="J10" s="3" t="n"/>
      <c r="K10" s="3">
        <f>SUM(F10:J10)</f>
        <v/>
      </c>
      <c r="L10" s="5">
        <f>ROUND(K10*E10,2)</f>
        <v/>
      </c>
      <c r="M10" s="3" t="inlineStr">
        <is>
          <t>-6.000</t>
        </is>
      </c>
      <c r="N10" s="6" t="inlineStr">
        <is>
          <t>Д17*</t>
        </is>
      </c>
      <c r="O10" s="6" t="inlineStr"/>
    </row>
    <row r="11">
      <c r="A11" s="3" t="n">
        <v>8</v>
      </c>
      <c r="B11" s="3" t="inlineStr">
        <is>
          <t>Вн-13</t>
        </is>
      </c>
      <c r="C11" s="3" t="n">
        <v>3200</v>
      </c>
      <c r="D11" s="3" t="n">
        <v>4820</v>
      </c>
      <c r="E11" s="4">
        <f>ROUND(C11*D11/1000000,2)</f>
        <v/>
      </c>
      <c r="F11" s="3" t="n"/>
      <c r="G11" s="3" t="n"/>
      <c r="H11" s="3" t="n">
        <v>1</v>
      </c>
      <c r="I11" s="3" t="n"/>
      <c r="J11" s="3" t="n"/>
      <c r="K11" s="3">
        <f>SUM(F11:J11)</f>
        <v/>
      </c>
      <c r="L11" s="5">
        <f>ROUND(K11*E11,2)</f>
        <v/>
      </c>
      <c r="M11" s="3" t="inlineStr">
        <is>
          <t>-6.000</t>
        </is>
      </c>
      <c r="N11" s="6" t="inlineStr"/>
      <c r="O11" s="6" t="inlineStr"/>
    </row>
    <row r="12">
      <c r="A12" s="3" t="n">
        <v>9</v>
      </c>
      <c r="B12" s="3" t="inlineStr">
        <is>
          <t>Вн-14</t>
        </is>
      </c>
      <c r="C12" s="3" t="n">
        <v>2485</v>
      </c>
      <c r="D12" s="3" t="n">
        <v>4820</v>
      </c>
      <c r="E12" s="4">
        <f>ROUND(C12*D12/1000000,2)</f>
        <v/>
      </c>
      <c r="F12" s="3" t="n">
        <v>1</v>
      </c>
      <c r="G12" s="3" t="n"/>
      <c r="H12" s="3" t="n"/>
      <c r="I12" s="3" t="n"/>
      <c r="J12" s="3" t="n"/>
      <c r="K12" s="3">
        <f>SUM(F12:J12)</f>
        <v/>
      </c>
      <c r="L12" s="5">
        <f>ROUND(K12*E12,2)</f>
        <v/>
      </c>
      <c r="M12" s="3" t="inlineStr">
        <is>
          <t>-6.000</t>
        </is>
      </c>
      <c r="N12" s="6" t="inlineStr">
        <is>
          <t>Д17*</t>
        </is>
      </c>
      <c r="O12" s="6" t="inlineStr"/>
    </row>
    <row r="13">
      <c r="A13" s="3" t="n">
        <v>10</v>
      </c>
      <c r="B13" s="3" t="inlineStr">
        <is>
          <t>Вн-15</t>
        </is>
      </c>
      <c r="C13" s="3" t="n">
        <v>1400</v>
      </c>
      <c r="D13" s="3" t="n">
        <v>4820</v>
      </c>
      <c r="E13" s="4">
        <f>ROUND(C13*D13/1000000,2)</f>
        <v/>
      </c>
      <c r="F13" s="3" t="n">
        <v>1</v>
      </c>
      <c r="G13" s="3" t="n">
        <v>1</v>
      </c>
      <c r="H13" s="3" t="n"/>
      <c r="I13" s="3" t="n"/>
      <c r="J13" s="3" t="n"/>
      <c r="K13" s="3">
        <f>SUM(F13:J13)</f>
        <v/>
      </c>
      <c r="L13" s="5">
        <f>ROUND(K13*E13,2)</f>
        <v/>
      </c>
      <c r="M13" s="3" t="inlineStr">
        <is>
          <t>-6.000</t>
        </is>
      </c>
      <c r="N13" s="6" t="inlineStr">
        <is>
          <t>Д17*</t>
        </is>
      </c>
      <c r="O13" s="6" t="inlineStr"/>
    </row>
    <row r="14">
      <c r="A14" s="3" t="n">
        <v>11</v>
      </c>
      <c r="B14" s="3" t="inlineStr">
        <is>
          <t>Вн-16</t>
        </is>
      </c>
      <c r="C14" s="3" t="n">
        <v>1200</v>
      </c>
      <c r="D14" s="3" t="n">
        <v>4820</v>
      </c>
      <c r="E14" s="4">
        <f>ROUND(C14*D14/1000000,2)</f>
        <v/>
      </c>
      <c r="F14" s="3" t="n"/>
      <c r="G14" s="3" t="n"/>
      <c r="H14" s="3" t="n">
        <v>3</v>
      </c>
      <c r="I14" s="3" t="n"/>
      <c r="J14" s="3" t="n"/>
      <c r="K14" s="3">
        <f>SUM(F14:J14)</f>
        <v/>
      </c>
      <c r="L14" s="5">
        <f>ROUND(K14*E14,2)</f>
        <v/>
      </c>
      <c r="M14" s="3" t="inlineStr">
        <is>
          <t>-6.000</t>
        </is>
      </c>
      <c r="N14" s="6" t="inlineStr">
        <is>
          <t>Д35</t>
        </is>
      </c>
      <c r="O14" s="6" t="inlineStr">
        <is>
          <t>1 шт. у лестницы на границе литеров В/Г отнесён к литеру В</t>
        </is>
      </c>
    </row>
    <row r="15">
      <c r="A15" s="3" t="n">
        <v>12</v>
      </c>
      <c r="B15" s="3" t="inlineStr">
        <is>
          <t>Вн-17</t>
        </is>
      </c>
      <c r="C15" s="3" t="n">
        <v>4200</v>
      </c>
      <c r="D15" s="3" t="n">
        <v>4820</v>
      </c>
      <c r="E15" s="4">
        <f>ROUND(C15*D15/1000000,2)</f>
        <v/>
      </c>
      <c r="F15" s="3" t="n"/>
      <c r="G15" s="3" t="n">
        <v>1</v>
      </c>
      <c r="H15" s="3" t="n">
        <v>1</v>
      </c>
      <c r="I15" s="3" t="n">
        <v>1</v>
      </c>
      <c r="J15" s="3" t="n">
        <v>1</v>
      </c>
      <c r="K15" s="3">
        <f>SUM(F15:J15)</f>
        <v/>
      </c>
      <c r="L15" s="5">
        <f>ROUND(K15*E15,2)</f>
        <v/>
      </c>
      <c r="M15" s="3" t="inlineStr">
        <is>
          <t>-6.000</t>
        </is>
      </c>
      <c r="N15" s="6" t="inlineStr">
        <is>
          <t>Д17*</t>
        </is>
      </c>
      <c r="O15" s="6" t="inlineStr">
        <is>
          <t>Лит. Г: на чертеже 2 шт., в КП 1</t>
        </is>
      </c>
    </row>
    <row r="16">
      <c r="A16" s="3" t="n">
        <v>13</v>
      </c>
      <c r="B16" s="3" t="inlineStr">
        <is>
          <t>Вн-18</t>
        </is>
      </c>
      <c r="C16" s="3" t="n">
        <v>2600</v>
      </c>
      <c r="D16" s="3" t="n">
        <v>4820</v>
      </c>
      <c r="E16" s="4">
        <f>ROUND(C16*D16/1000000,2)</f>
        <v/>
      </c>
      <c r="F16" s="3" t="n"/>
      <c r="G16" s="3" t="n">
        <v>1</v>
      </c>
      <c r="H16" s="3" t="n"/>
      <c r="I16" s="3" t="n"/>
      <c r="J16" s="3" t="n"/>
      <c r="K16" s="3">
        <f>SUM(F16:J16)</f>
        <v/>
      </c>
      <c r="L16" s="5">
        <f>ROUND(K16*E16,2)</f>
        <v/>
      </c>
      <c r="M16" s="3" t="inlineStr">
        <is>
          <t>-6.000</t>
        </is>
      </c>
      <c r="N16" s="6" t="inlineStr">
        <is>
          <t>Д17*</t>
        </is>
      </c>
      <c r="O16" s="6" t="inlineStr"/>
    </row>
    <row r="17">
      <c r="A17" s="3" t="n">
        <v>14</v>
      </c>
      <c r="B17" s="3" t="inlineStr">
        <is>
          <t>Вн-19</t>
        </is>
      </c>
      <c r="C17" s="3" t="n">
        <v>3000</v>
      </c>
      <c r="D17" s="3" t="n">
        <v>4820</v>
      </c>
      <c r="E17" s="4">
        <f>ROUND(C17*D17/1000000,2)</f>
        <v/>
      </c>
      <c r="F17" s="3" t="n"/>
      <c r="G17" s="3" t="n"/>
      <c r="H17" s="3" t="n">
        <v>2</v>
      </c>
      <c r="I17" s="3" t="n"/>
      <c r="J17" s="3" t="n"/>
      <c r="K17" s="3">
        <f>SUM(F17:J17)</f>
        <v/>
      </c>
      <c r="L17" s="5">
        <f>ROUND(K17*E17,2)</f>
        <v/>
      </c>
      <c r="M17" s="3" t="inlineStr">
        <is>
          <t>-6.000</t>
        </is>
      </c>
      <c r="N17" s="6" t="inlineStr">
        <is>
          <t>Д17*</t>
        </is>
      </c>
      <c r="O17" s="6" t="inlineStr"/>
    </row>
    <row r="18">
      <c r="A18" s="3" t="n">
        <v>15</v>
      </c>
      <c r="B18" s="3" t="inlineStr">
        <is>
          <t>Вн-20</t>
        </is>
      </c>
      <c r="C18" s="3" t="n">
        <v>3900</v>
      </c>
      <c r="D18" s="3" t="n">
        <v>4820</v>
      </c>
      <c r="E18" s="4">
        <f>ROUND(C18*D18/1000000,2)</f>
        <v/>
      </c>
      <c r="F18" s="3" t="n"/>
      <c r="G18" s="3" t="n"/>
      <c r="H18" s="3" t="n"/>
      <c r="I18" s="3" t="n">
        <v>1</v>
      </c>
      <c r="J18" s="3" t="n"/>
      <c r="K18" s="3">
        <f>SUM(F18:J18)</f>
        <v/>
      </c>
      <c r="L18" s="5">
        <f>ROUND(K18*E18,2)</f>
        <v/>
      </c>
      <c r="M18" s="3" t="inlineStr">
        <is>
          <t>-6.000</t>
        </is>
      </c>
      <c r="N18" s="6" t="inlineStr"/>
      <c r="O18" s="6" t="inlineStr"/>
    </row>
    <row r="19">
      <c r="A19" s="3" t="n">
        <v>16</v>
      </c>
      <c r="B19" s="3" t="inlineStr">
        <is>
          <t>Вн-21</t>
        </is>
      </c>
      <c r="C19" s="3" t="n">
        <v>2920</v>
      </c>
      <c r="D19" s="3" t="n">
        <v>4820</v>
      </c>
      <c r="E19" s="4">
        <f>ROUND(C19*D19/1000000,2)</f>
        <v/>
      </c>
      <c r="F19" s="3" t="n"/>
      <c r="G19" s="3" t="n"/>
      <c r="H19" s="3" t="n"/>
      <c r="I19" s="3" t="n">
        <v>1</v>
      </c>
      <c r="J19" s="3" t="n"/>
      <c r="K19" s="3">
        <f>SUM(F19:J19)</f>
        <v/>
      </c>
      <c r="L19" s="5">
        <f>ROUND(K19*E19,2)</f>
        <v/>
      </c>
      <c r="M19" s="3" t="inlineStr">
        <is>
          <t>-6.000</t>
        </is>
      </c>
      <c r="N19" s="6" t="inlineStr"/>
      <c r="O19" s="6" t="inlineStr"/>
    </row>
    <row r="20">
      <c r="A20" s="3" t="n">
        <v>17</v>
      </c>
      <c r="B20" s="3" t="inlineStr">
        <is>
          <t>Вн-22</t>
        </is>
      </c>
      <c r="C20" s="3" t="n">
        <v>2150</v>
      </c>
      <c r="D20" s="3" t="n">
        <v>2720</v>
      </c>
      <c r="E20" s="4">
        <f>ROUND(C20*D20/1000000,2)</f>
        <v/>
      </c>
      <c r="F20" s="3" t="n">
        <v>5</v>
      </c>
      <c r="G20" s="3" t="n">
        <v>5</v>
      </c>
      <c r="H20" s="3" t="n">
        <v>1</v>
      </c>
      <c r="I20" s="3" t="n"/>
      <c r="J20" s="3" t="n"/>
      <c r="K20" s="3">
        <f>SUM(F20:J20)</f>
        <v/>
      </c>
      <c r="L20" s="5">
        <f>ROUND(K20*E20,2)</f>
        <v/>
      </c>
      <c r="M20" s="3" t="inlineStr">
        <is>
          <t>0.000</t>
        </is>
      </c>
      <c r="N20" s="6" t="inlineStr">
        <is>
          <t>Д17*, Д35</t>
        </is>
      </c>
      <c r="O20" s="6" t="inlineStr">
        <is>
          <t>КП: 2070×2760. На чертеже 18 шт., в КП 11 (А5, Б5, В1)</t>
        </is>
      </c>
    </row>
    <row r="21">
      <c r="A21" s="7" t="n"/>
      <c r="B21" s="8" t="inlineStr">
        <is>
          <t>ИТОГО</t>
        </is>
      </c>
      <c r="C21" s="7" t="n"/>
      <c r="D21" s="7" t="n"/>
      <c r="E21" s="9" t="n"/>
      <c r="F21" s="8">
        <f>SUM(F4:F20)</f>
        <v/>
      </c>
      <c r="G21" s="8">
        <f>SUM(G4:G20)</f>
        <v/>
      </c>
      <c r="H21" s="8">
        <f>SUM(H4:H20)</f>
        <v/>
      </c>
      <c r="I21" s="8">
        <f>SUM(I4:I20)</f>
        <v/>
      </c>
      <c r="J21" s="8">
        <f>SUM(J4:J20)</f>
        <v/>
      </c>
      <c r="K21" s="8">
        <f>SUM(K4:K20)</f>
        <v/>
      </c>
      <c r="L21" s="10">
        <f>SUM(L4:L20)</f>
        <v/>
      </c>
      <c r="M21" s="7" t="n"/>
      <c r="N21" s="11" t="n"/>
      <c r="O21" s="11" t="n"/>
    </row>
    <row r="23">
      <c r="A23" t="inlineStr">
        <is>
          <t>Размеры — из таблицы заказчика (длина × высота). Количество — по чертежам, но не больше, чем в КП; позиции, которых нет в КП, исключены.</t>
        </is>
      </c>
    </row>
  </sheetData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1"/>
  <sheetViews>
    <sheetView workbookViewId="0">
      <selection activeCell="A1" sqref="A1"/>
    </sheetView>
  </sheetViews>
  <sheetFormatPr baseColWidth="8" defaultRowHeight="15"/>
  <cols>
    <col width="5" customWidth="1" min="1" max="1"/>
    <col width="16" customWidth="1" min="2" max="2"/>
    <col width="10" customWidth="1" min="3" max="3"/>
    <col width="10" customWidth="1" min="4" max="4"/>
    <col width="11" customWidth="1" min="5" max="5"/>
    <col width="10" customWidth="1" min="6" max="6"/>
    <col width="13" customWidth="1" min="7" max="7"/>
    <col width="11" customWidth="1" min="8" max="8"/>
  </cols>
  <sheetData>
    <row r="1">
      <c r="A1" s="1" t="inlineStr">
        <is>
          <t>Спецификация витражей по литерам</t>
        </is>
      </c>
    </row>
    <row r="3" ht="32" customHeight="1">
      <c r="A3" s="2" t="inlineStr">
        <is>
          <t>№</t>
        </is>
      </c>
      <c r="B3" s="2" t="inlineStr">
        <is>
          <t>Марка</t>
        </is>
      </c>
      <c r="C3" s="2" t="inlineStr">
        <is>
          <t>Длина, мм</t>
        </is>
      </c>
      <c r="D3" s="2" t="inlineStr">
        <is>
          <t>Высота, мм</t>
        </is>
      </c>
      <c r="E3" s="2" t="inlineStr">
        <is>
          <t>Площадь 1 шт, м²</t>
        </is>
      </c>
      <c r="F3" s="2" t="inlineStr">
        <is>
          <t>Кол-во, шт</t>
        </is>
      </c>
      <c r="G3" s="2" t="inlineStr">
        <is>
          <t>Площадь всего, м²</t>
        </is>
      </c>
      <c r="H3" s="2" t="inlineStr">
        <is>
          <t>Отметка</t>
        </is>
      </c>
    </row>
    <row r="4">
      <c r="A4" s="3" t="n"/>
      <c r="B4" s="12" t="inlineStr">
        <is>
          <t>Литер А</t>
        </is>
      </c>
      <c r="C4" s="13" t="n"/>
      <c r="D4" s="13" t="n"/>
      <c r="E4" s="14" t="n"/>
      <c r="F4" s="13" t="n"/>
      <c r="G4" s="15" t="n"/>
      <c r="H4" s="13" t="n"/>
    </row>
    <row r="5">
      <c r="A5" s="3" t="n">
        <v>1</v>
      </c>
      <c r="B5" s="3" t="inlineStr">
        <is>
          <t>Вн-6</t>
        </is>
      </c>
      <c r="C5" s="3" t="n">
        <v>4200</v>
      </c>
      <c r="D5" s="3" t="n">
        <v>4820</v>
      </c>
      <c r="E5" s="4">
        <f>ROUND(C5*D5/1000000,2)</f>
        <v/>
      </c>
      <c r="F5" s="3" t="n">
        <v>3</v>
      </c>
      <c r="G5" s="5">
        <f>ROUND(F5*E5,2)</f>
        <v/>
      </c>
      <c r="H5" s="3" t="inlineStr">
        <is>
          <t>-6.000</t>
        </is>
      </c>
    </row>
    <row r="6">
      <c r="A6" s="3" t="n">
        <v>2</v>
      </c>
      <c r="B6" s="3" t="inlineStr">
        <is>
          <t>Вн-8</t>
        </is>
      </c>
      <c r="C6" s="3" t="n">
        <v>2600</v>
      </c>
      <c r="D6" s="3" t="n">
        <v>4820</v>
      </c>
      <c r="E6" s="4">
        <f>ROUND(C6*D6/1000000,2)</f>
        <v/>
      </c>
      <c r="F6" s="3" t="n">
        <v>1</v>
      </c>
      <c r="G6" s="5">
        <f>ROUND(F6*E6,2)</f>
        <v/>
      </c>
      <c r="H6" s="3" t="inlineStr">
        <is>
          <t>-6.000</t>
        </is>
      </c>
    </row>
    <row r="7">
      <c r="A7" s="3" t="n">
        <v>3</v>
      </c>
      <c r="B7" s="3" t="inlineStr">
        <is>
          <t>Вн-14</t>
        </is>
      </c>
      <c r="C7" s="3" t="n">
        <v>2485</v>
      </c>
      <c r="D7" s="3" t="n">
        <v>4820</v>
      </c>
      <c r="E7" s="4">
        <f>ROUND(C7*D7/1000000,2)</f>
        <v/>
      </c>
      <c r="F7" s="3" t="n">
        <v>1</v>
      </c>
      <c r="G7" s="5">
        <f>ROUND(F7*E7,2)</f>
        <v/>
      </c>
      <c r="H7" s="3" t="inlineStr">
        <is>
          <t>-6.000</t>
        </is>
      </c>
    </row>
    <row r="8">
      <c r="A8" s="3" t="n">
        <v>4</v>
      </c>
      <c r="B8" s="3" t="inlineStr">
        <is>
          <t>Вн-15</t>
        </is>
      </c>
      <c r="C8" s="3" t="n">
        <v>1400</v>
      </c>
      <c r="D8" s="3" t="n">
        <v>4820</v>
      </c>
      <c r="E8" s="4">
        <f>ROUND(C8*D8/1000000,2)</f>
        <v/>
      </c>
      <c r="F8" s="3" t="n">
        <v>1</v>
      </c>
      <c r="G8" s="5">
        <f>ROUND(F8*E8,2)</f>
        <v/>
      </c>
      <c r="H8" s="3" t="inlineStr">
        <is>
          <t>-6.000</t>
        </is>
      </c>
    </row>
    <row r="9">
      <c r="A9" s="3" t="n">
        <v>5</v>
      </c>
      <c r="B9" s="3" t="inlineStr">
        <is>
          <t>Вн-22</t>
        </is>
      </c>
      <c r="C9" s="3" t="n">
        <v>2150</v>
      </c>
      <c r="D9" s="3" t="n">
        <v>2720</v>
      </c>
      <c r="E9" s="4">
        <f>ROUND(C9*D9/1000000,2)</f>
        <v/>
      </c>
      <c r="F9" s="3" t="n">
        <v>5</v>
      </c>
      <c r="G9" s="5">
        <f>ROUND(F9*E9,2)</f>
        <v/>
      </c>
      <c r="H9" s="3" t="inlineStr">
        <is>
          <t>0.000</t>
        </is>
      </c>
    </row>
    <row r="10">
      <c r="A10" s="7" t="n"/>
      <c r="B10" s="8" t="inlineStr">
        <is>
          <t>Итого литер А</t>
        </is>
      </c>
      <c r="C10" s="7" t="n"/>
      <c r="D10" s="7" t="n"/>
      <c r="E10" s="9" t="n"/>
      <c r="F10" s="8">
        <f>SUM(F5:F9)</f>
        <v/>
      </c>
      <c r="G10" s="10">
        <f>SUM(G5:G9)</f>
        <v/>
      </c>
      <c r="H10" s="7" t="n"/>
    </row>
    <row r="11">
      <c r="A11" s="3" t="n"/>
      <c r="B11" s="12" t="inlineStr">
        <is>
          <t>Литер Б</t>
        </is>
      </c>
      <c r="C11" s="13" t="n"/>
      <c r="D11" s="13" t="n"/>
      <c r="E11" s="14" t="n"/>
      <c r="F11" s="13" t="n"/>
      <c r="G11" s="15" t="n"/>
      <c r="H11" s="13" t="n"/>
    </row>
    <row r="12">
      <c r="A12" s="3" t="n">
        <v>6</v>
      </c>
      <c r="B12" s="3" t="inlineStr">
        <is>
          <t>Вн-6</t>
        </is>
      </c>
      <c r="C12" s="3" t="n">
        <v>4200</v>
      </c>
      <c r="D12" s="3" t="n">
        <v>4820</v>
      </c>
      <c r="E12" s="4">
        <f>ROUND(C12*D12/1000000,2)</f>
        <v/>
      </c>
      <c r="F12" s="3" t="n">
        <v>3</v>
      </c>
      <c r="G12" s="5">
        <f>ROUND(F12*E12,2)</f>
        <v/>
      </c>
      <c r="H12" s="3" t="inlineStr">
        <is>
          <t>-6.000</t>
        </is>
      </c>
    </row>
    <row r="13">
      <c r="A13" s="3" t="n">
        <v>7</v>
      </c>
      <c r="B13" s="3" t="inlineStr">
        <is>
          <t>Вн-15</t>
        </is>
      </c>
      <c r="C13" s="3" t="n">
        <v>1400</v>
      </c>
      <c r="D13" s="3" t="n">
        <v>4820</v>
      </c>
      <c r="E13" s="4">
        <f>ROUND(C13*D13/1000000,2)</f>
        <v/>
      </c>
      <c r="F13" s="3" t="n">
        <v>1</v>
      </c>
      <c r="G13" s="5">
        <f>ROUND(F13*E13,2)</f>
        <v/>
      </c>
      <c r="H13" s="3" t="inlineStr">
        <is>
          <t>-6.000</t>
        </is>
      </c>
    </row>
    <row r="14">
      <c r="A14" s="3" t="n">
        <v>8</v>
      </c>
      <c r="B14" s="3" t="inlineStr">
        <is>
          <t>Вн-17</t>
        </is>
      </c>
      <c r="C14" s="3" t="n">
        <v>4200</v>
      </c>
      <c r="D14" s="3" t="n">
        <v>4820</v>
      </c>
      <c r="E14" s="4">
        <f>ROUND(C14*D14/1000000,2)</f>
        <v/>
      </c>
      <c r="F14" s="3" t="n">
        <v>1</v>
      </c>
      <c r="G14" s="5">
        <f>ROUND(F14*E14,2)</f>
        <v/>
      </c>
      <c r="H14" s="3" t="inlineStr">
        <is>
          <t>-6.000</t>
        </is>
      </c>
    </row>
    <row r="15">
      <c r="A15" s="3" t="n">
        <v>9</v>
      </c>
      <c r="B15" s="3" t="inlineStr">
        <is>
          <t>Вн-18</t>
        </is>
      </c>
      <c r="C15" s="3" t="n">
        <v>2600</v>
      </c>
      <c r="D15" s="3" t="n">
        <v>4820</v>
      </c>
      <c r="E15" s="4">
        <f>ROUND(C15*D15/1000000,2)</f>
        <v/>
      </c>
      <c r="F15" s="3" t="n">
        <v>1</v>
      </c>
      <c r="G15" s="5">
        <f>ROUND(F15*E15,2)</f>
        <v/>
      </c>
      <c r="H15" s="3" t="inlineStr">
        <is>
          <t>-6.000</t>
        </is>
      </c>
    </row>
    <row r="16">
      <c r="A16" s="3" t="n">
        <v>10</v>
      </c>
      <c r="B16" s="3" t="inlineStr">
        <is>
          <t>Вн-22</t>
        </is>
      </c>
      <c r="C16" s="3" t="n">
        <v>2150</v>
      </c>
      <c r="D16" s="3" t="n">
        <v>2720</v>
      </c>
      <c r="E16" s="4">
        <f>ROUND(C16*D16/1000000,2)</f>
        <v/>
      </c>
      <c r="F16" s="3" t="n">
        <v>5</v>
      </c>
      <c r="G16" s="5">
        <f>ROUND(F16*E16,2)</f>
        <v/>
      </c>
      <c r="H16" s="3" t="inlineStr">
        <is>
          <t>0.000</t>
        </is>
      </c>
    </row>
    <row r="17">
      <c r="A17" s="7" t="n"/>
      <c r="B17" s="8" t="inlineStr">
        <is>
          <t>Итого литер Б</t>
        </is>
      </c>
      <c r="C17" s="7" t="n"/>
      <c r="D17" s="7" t="n"/>
      <c r="E17" s="9" t="n"/>
      <c r="F17" s="8">
        <f>SUM(F12:F16)</f>
        <v/>
      </c>
      <c r="G17" s="10">
        <f>SUM(G12:G16)</f>
        <v/>
      </c>
      <c r="H17" s="7" t="n"/>
    </row>
    <row r="18">
      <c r="A18" s="3" t="n"/>
      <c r="B18" s="12" t="inlineStr">
        <is>
          <t>Литер В</t>
        </is>
      </c>
      <c r="C18" s="13" t="n"/>
      <c r="D18" s="13" t="n"/>
      <c r="E18" s="14" t="n"/>
      <c r="F18" s="13" t="n"/>
      <c r="G18" s="15" t="n"/>
      <c r="H18" s="13" t="n"/>
    </row>
    <row r="19">
      <c r="A19" s="3" t="n">
        <v>11</v>
      </c>
      <c r="B19" s="3" t="inlineStr">
        <is>
          <t>Вн-6</t>
        </is>
      </c>
      <c r="C19" s="3" t="n">
        <v>4200</v>
      </c>
      <c r="D19" s="3" t="n">
        <v>4820</v>
      </c>
      <c r="E19" s="4">
        <f>ROUND(C19*D19/1000000,2)</f>
        <v/>
      </c>
      <c r="F19" s="3" t="n">
        <v>1</v>
      </c>
      <c r="G19" s="5">
        <f>ROUND(F19*E19,2)</f>
        <v/>
      </c>
      <c r="H19" s="3" t="inlineStr">
        <is>
          <t>-6.000</t>
        </is>
      </c>
    </row>
    <row r="20">
      <c r="A20" s="3" t="n">
        <v>12</v>
      </c>
      <c r="B20" s="3" t="inlineStr">
        <is>
          <t>Вн-13</t>
        </is>
      </c>
      <c r="C20" s="3" t="n">
        <v>3200</v>
      </c>
      <c r="D20" s="3" t="n">
        <v>4820</v>
      </c>
      <c r="E20" s="4">
        <f>ROUND(C20*D20/1000000,2)</f>
        <v/>
      </c>
      <c r="F20" s="3" t="n">
        <v>1</v>
      </c>
      <c r="G20" s="5">
        <f>ROUND(F20*E20,2)</f>
        <v/>
      </c>
      <c r="H20" s="3" t="inlineStr">
        <is>
          <t>-6.000</t>
        </is>
      </c>
    </row>
    <row r="21">
      <c r="A21" s="3" t="n">
        <v>13</v>
      </c>
      <c r="B21" s="3" t="inlineStr">
        <is>
          <t>Вн-16</t>
        </is>
      </c>
      <c r="C21" s="3" t="n">
        <v>1200</v>
      </c>
      <c r="D21" s="3" t="n">
        <v>4820</v>
      </c>
      <c r="E21" s="4">
        <f>ROUND(C21*D21/1000000,2)</f>
        <v/>
      </c>
      <c r="F21" s="3" t="n">
        <v>3</v>
      </c>
      <c r="G21" s="5">
        <f>ROUND(F21*E21,2)</f>
        <v/>
      </c>
      <c r="H21" s="3" t="inlineStr">
        <is>
          <t>-6.000</t>
        </is>
      </c>
    </row>
    <row r="22">
      <c r="A22" s="3" t="n">
        <v>14</v>
      </c>
      <c r="B22" s="3" t="inlineStr">
        <is>
          <t>Вн-17</t>
        </is>
      </c>
      <c r="C22" s="3" t="n">
        <v>4200</v>
      </c>
      <c r="D22" s="3" t="n">
        <v>4820</v>
      </c>
      <c r="E22" s="4">
        <f>ROUND(C22*D22/1000000,2)</f>
        <v/>
      </c>
      <c r="F22" s="3" t="n">
        <v>1</v>
      </c>
      <c r="G22" s="5">
        <f>ROUND(F22*E22,2)</f>
        <v/>
      </c>
      <c r="H22" s="3" t="inlineStr">
        <is>
          <t>-6.000</t>
        </is>
      </c>
    </row>
    <row r="23">
      <c r="A23" s="3" t="n">
        <v>15</v>
      </c>
      <c r="B23" s="3" t="inlineStr">
        <is>
          <t>Вн-19</t>
        </is>
      </c>
      <c r="C23" s="3" t="n">
        <v>3000</v>
      </c>
      <c r="D23" s="3" t="n">
        <v>4820</v>
      </c>
      <c r="E23" s="4">
        <f>ROUND(C23*D23/1000000,2)</f>
        <v/>
      </c>
      <c r="F23" s="3" t="n">
        <v>2</v>
      </c>
      <c r="G23" s="5">
        <f>ROUND(F23*E23,2)</f>
        <v/>
      </c>
      <c r="H23" s="3" t="inlineStr">
        <is>
          <t>-6.000</t>
        </is>
      </c>
    </row>
    <row r="24">
      <c r="A24" s="3" t="n">
        <v>16</v>
      </c>
      <c r="B24" s="3" t="inlineStr">
        <is>
          <t>Вн-22</t>
        </is>
      </c>
      <c r="C24" s="3" t="n">
        <v>2150</v>
      </c>
      <c r="D24" s="3" t="n">
        <v>2720</v>
      </c>
      <c r="E24" s="4">
        <f>ROUND(C24*D24/1000000,2)</f>
        <v/>
      </c>
      <c r="F24" s="3" t="n">
        <v>1</v>
      </c>
      <c r="G24" s="5">
        <f>ROUND(F24*E24,2)</f>
        <v/>
      </c>
      <c r="H24" s="3" t="inlineStr">
        <is>
          <t>0.000</t>
        </is>
      </c>
    </row>
    <row r="25">
      <c r="A25" s="7" t="n"/>
      <c r="B25" s="8" t="inlineStr">
        <is>
          <t>Итого литер В</t>
        </is>
      </c>
      <c r="C25" s="7" t="n"/>
      <c r="D25" s="7" t="n"/>
      <c r="E25" s="9" t="n"/>
      <c r="F25" s="8">
        <f>SUM(F19:F24)</f>
        <v/>
      </c>
      <c r="G25" s="10">
        <f>SUM(G19:G24)</f>
        <v/>
      </c>
      <c r="H25" s="7" t="n"/>
    </row>
    <row r="26">
      <c r="A26" s="3" t="n"/>
      <c r="B26" s="12" t="inlineStr">
        <is>
          <t>Литер Г</t>
        </is>
      </c>
      <c r="C26" s="13" t="n"/>
      <c r="D26" s="13" t="n"/>
      <c r="E26" s="14" t="n"/>
      <c r="F26" s="13" t="n"/>
      <c r="G26" s="15" t="n"/>
      <c r="H26" s="13" t="n"/>
    </row>
    <row r="27">
      <c r="A27" s="3" t="n">
        <v>17</v>
      </c>
      <c r="B27" s="3" t="inlineStr">
        <is>
          <t>Вн-6</t>
        </is>
      </c>
      <c r="C27" s="3" t="n">
        <v>4200</v>
      </c>
      <c r="D27" s="3" t="n">
        <v>4820</v>
      </c>
      <c r="E27" s="4">
        <f>ROUND(C27*D27/1000000,2)</f>
        <v/>
      </c>
      <c r="F27" s="3" t="n">
        <v>1</v>
      </c>
      <c r="G27" s="5">
        <f>ROUND(F27*E27,2)</f>
        <v/>
      </c>
      <c r="H27" s="3" t="inlineStr">
        <is>
          <t>-6.000</t>
        </is>
      </c>
    </row>
    <row r="28">
      <c r="A28" s="3" t="n">
        <v>18</v>
      </c>
      <c r="B28" s="3" t="inlineStr">
        <is>
          <t>Вн-10</t>
        </is>
      </c>
      <c r="C28" s="3" t="n">
        <v>4160</v>
      </c>
      <c r="D28" s="3" t="n">
        <v>4820</v>
      </c>
      <c r="E28" s="4">
        <f>ROUND(C28*D28/1000000,2)</f>
        <v/>
      </c>
      <c r="F28" s="3" t="n">
        <v>1</v>
      </c>
      <c r="G28" s="5">
        <f>ROUND(F28*E28,2)</f>
        <v/>
      </c>
      <c r="H28" s="3" t="inlineStr">
        <is>
          <t>-6.000</t>
        </is>
      </c>
    </row>
    <row r="29">
      <c r="A29" s="3" t="n">
        <v>19</v>
      </c>
      <c r="B29" s="3" t="inlineStr">
        <is>
          <t>Вн-11</t>
        </is>
      </c>
      <c r="C29" s="3" t="n">
        <v>2450</v>
      </c>
      <c r="D29" s="3" t="n">
        <v>4820</v>
      </c>
      <c r="E29" s="4">
        <f>ROUND(C29*D29/1000000,2)</f>
        <v/>
      </c>
      <c r="F29" s="3" t="n">
        <v>1</v>
      </c>
      <c r="G29" s="5">
        <f>ROUND(F29*E29,2)</f>
        <v/>
      </c>
      <c r="H29" s="3" t="inlineStr">
        <is>
          <t>-6.000</t>
        </is>
      </c>
    </row>
    <row r="30">
      <c r="A30" s="3" t="n">
        <v>20</v>
      </c>
      <c r="B30" s="3" t="inlineStr">
        <is>
          <t>Вн-12</t>
        </is>
      </c>
      <c r="C30" s="3" t="n">
        <v>3370</v>
      </c>
      <c r="D30" s="3" t="n">
        <v>4820</v>
      </c>
      <c r="E30" s="4">
        <f>ROUND(C30*D30/1000000,2)</f>
        <v/>
      </c>
      <c r="F30" s="3" t="n">
        <v>1</v>
      </c>
      <c r="G30" s="5">
        <f>ROUND(F30*E30,2)</f>
        <v/>
      </c>
      <c r="H30" s="3" t="inlineStr">
        <is>
          <t>-6.000</t>
        </is>
      </c>
    </row>
    <row r="31">
      <c r="A31" s="3" t="n">
        <v>21</v>
      </c>
      <c r="B31" s="3" t="inlineStr">
        <is>
          <t>Вн-17</t>
        </is>
      </c>
      <c r="C31" s="3" t="n">
        <v>4200</v>
      </c>
      <c r="D31" s="3" t="n">
        <v>4820</v>
      </c>
      <c r="E31" s="4">
        <f>ROUND(C31*D31/1000000,2)</f>
        <v/>
      </c>
      <c r="F31" s="3" t="n">
        <v>1</v>
      </c>
      <c r="G31" s="5">
        <f>ROUND(F31*E31,2)</f>
        <v/>
      </c>
      <c r="H31" s="3" t="inlineStr">
        <is>
          <t>-6.000</t>
        </is>
      </c>
    </row>
    <row r="32">
      <c r="A32" s="3" t="n">
        <v>22</v>
      </c>
      <c r="B32" s="3" t="inlineStr">
        <is>
          <t>Вн-20</t>
        </is>
      </c>
      <c r="C32" s="3" t="n">
        <v>3900</v>
      </c>
      <c r="D32" s="3" t="n">
        <v>4820</v>
      </c>
      <c r="E32" s="4">
        <f>ROUND(C32*D32/1000000,2)</f>
        <v/>
      </c>
      <c r="F32" s="3" t="n">
        <v>1</v>
      </c>
      <c r="G32" s="5">
        <f>ROUND(F32*E32,2)</f>
        <v/>
      </c>
      <c r="H32" s="3" t="inlineStr">
        <is>
          <t>-6.000</t>
        </is>
      </c>
    </row>
    <row r="33">
      <c r="A33" s="3" t="n">
        <v>23</v>
      </c>
      <c r="B33" s="3" t="inlineStr">
        <is>
          <t>Вн-21</t>
        </is>
      </c>
      <c r="C33" s="3" t="n">
        <v>2920</v>
      </c>
      <c r="D33" s="3" t="n">
        <v>4820</v>
      </c>
      <c r="E33" s="4">
        <f>ROUND(C33*D33/1000000,2)</f>
        <v/>
      </c>
      <c r="F33" s="3" t="n">
        <v>1</v>
      </c>
      <c r="G33" s="5">
        <f>ROUND(F33*E33,2)</f>
        <v/>
      </c>
      <c r="H33" s="3" t="inlineStr">
        <is>
          <t>-6.000</t>
        </is>
      </c>
    </row>
    <row r="34">
      <c r="A34" s="7" t="n"/>
      <c r="B34" s="8" t="inlineStr">
        <is>
          <t>Итого литер Г</t>
        </is>
      </c>
      <c r="C34" s="7" t="n"/>
      <c r="D34" s="7" t="n"/>
      <c r="E34" s="9" t="n"/>
      <c r="F34" s="8">
        <f>SUM(F27:F33)</f>
        <v/>
      </c>
      <c r="G34" s="10">
        <f>SUM(G27:G33)</f>
        <v/>
      </c>
      <c r="H34" s="7" t="n"/>
    </row>
    <row r="35">
      <c r="A35" s="3" t="n"/>
      <c r="B35" s="12" t="inlineStr">
        <is>
          <t>Литер Д</t>
        </is>
      </c>
      <c r="C35" s="13" t="n"/>
      <c r="D35" s="13" t="n"/>
      <c r="E35" s="14" t="n"/>
      <c r="F35" s="13" t="n"/>
      <c r="G35" s="15" t="n"/>
      <c r="H35" s="13" t="n"/>
    </row>
    <row r="36">
      <c r="A36" s="3" t="n">
        <v>24</v>
      </c>
      <c r="B36" s="3" t="inlineStr">
        <is>
          <t>Вн-6</t>
        </is>
      </c>
      <c r="C36" s="3" t="n">
        <v>4200</v>
      </c>
      <c r="D36" s="3" t="n">
        <v>4820</v>
      </c>
      <c r="E36" s="4">
        <f>ROUND(C36*D36/1000000,2)</f>
        <v/>
      </c>
      <c r="F36" s="3" t="n">
        <v>2</v>
      </c>
      <c r="G36" s="5">
        <f>ROUND(F36*E36,2)</f>
        <v/>
      </c>
      <c r="H36" s="3" t="inlineStr">
        <is>
          <t>-6.000</t>
        </is>
      </c>
    </row>
    <row r="37">
      <c r="A37" s="3" t="n">
        <v>25</v>
      </c>
      <c r="B37" s="3" t="inlineStr">
        <is>
          <t>Вн-7</t>
        </is>
      </c>
      <c r="C37" s="3" t="n">
        <v>3020</v>
      </c>
      <c r="D37" s="3" t="n">
        <v>4820</v>
      </c>
      <c r="E37" s="4">
        <f>ROUND(C37*D37/1000000,2)</f>
        <v/>
      </c>
      <c r="F37" s="3" t="n">
        <v>1</v>
      </c>
      <c r="G37" s="5">
        <f>ROUND(F37*E37,2)</f>
        <v/>
      </c>
      <c r="H37" s="3" t="inlineStr">
        <is>
          <t>-6.000</t>
        </is>
      </c>
    </row>
    <row r="38">
      <c r="A38" s="3" t="n">
        <v>26</v>
      </c>
      <c r="B38" s="3" t="inlineStr">
        <is>
          <t>Вн-9</t>
        </is>
      </c>
      <c r="C38" s="3" t="n">
        <v>3870</v>
      </c>
      <c r="D38" s="3" t="n">
        <v>4820</v>
      </c>
      <c r="E38" s="4">
        <f>ROUND(C38*D38/1000000,2)</f>
        <v/>
      </c>
      <c r="F38" s="3" t="n">
        <v>1</v>
      </c>
      <c r="G38" s="5">
        <f>ROUND(F38*E38,2)</f>
        <v/>
      </c>
      <c r="H38" s="3" t="inlineStr">
        <is>
          <t>-6.000</t>
        </is>
      </c>
    </row>
    <row r="39">
      <c r="A39" s="3" t="n">
        <v>27</v>
      </c>
      <c r="B39" s="3" t="inlineStr">
        <is>
          <t>Вн-17</t>
        </is>
      </c>
      <c r="C39" s="3" t="n">
        <v>4200</v>
      </c>
      <c r="D39" s="3" t="n">
        <v>4820</v>
      </c>
      <c r="E39" s="4">
        <f>ROUND(C39*D39/1000000,2)</f>
        <v/>
      </c>
      <c r="F39" s="3" t="n">
        <v>1</v>
      </c>
      <c r="G39" s="5">
        <f>ROUND(F39*E39,2)</f>
        <v/>
      </c>
      <c r="H39" s="3" t="inlineStr">
        <is>
          <t>-6.000</t>
        </is>
      </c>
    </row>
    <row r="40">
      <c r="A40" s="7" t="n"/>
      <c r="B40" s="8" t="inlineStr">
        <is>
          <t>Итого литер Д</t>
        </is>
      </c>
      <c r="C40" s="7" t="n"/>
      <c r="D40" s="7" t="n"/>
      <c r="E40" s="9" t="n"/>
      <c r="F40" s="8">
        <f>SUM(F36:F39)</f>
        <v/>
      </c>
      <c r="G40" s="10">
        <f>SUM(G36:G39)</f>
        <v/>
      </c>
      <c r="H40" s="7" t="n"/>
    </row>
    <row r="41">
      <c r="A41" s="3" t="n"/>
      <c r="B41" s="16" t="inlineStr">
        <is>
          <t>ВСЕГО</t>
        </is>
      </c>
      <c r="C41" s="3" t="n"/>
      <c r="D41" s="3" t="n"/>
      <c r="E41" s="4" t="n"/>
      <c r="F41" s="16">
        <f>F10+F17+F25+F34+F40</f>
        <v/>
      </c>
      <c r="G41" s="17">
        <f>G10+G17+G25+G34+G40</f>
        <v/>
      </c>
      <c r="H41" s="3" t="n"/>
    </row>
  </sheetData>
  <mergeCells count="5">
    <mergeCell ref="B26:H26"/>
    <mergeCell ref="B18:H18"/>
    <mergeCell ref="B35:H35"/>
    <mergeCell ref="B4:H4"/>
    <mergeCell ref="B11:H1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52"/>
  <sheetViews>
    <sheetView workbookViewId="0">
      <selection activeCell="A1" sqref="A1"/>
    </sheetView>
  </sheetViews>
  <sheetFormatPr baseColWidth="8" defaultRowHeight="15"/>
  <cols>
    <col width="5" customWidth="1" min="1" max="1"/>
    <col width="20" customWidth="1" min="2" max="2"/>
    <col width="7" customWidth="1" min="3" max="3"/>
    <col width="9" customWidth="1" min="4" max="4"/>
    <col width="8" customWidth="1" min="5" max="5"/>
    <col width="11" customWidth="1" min="6" max="6"/>
    <col width="11" customWidth="1" min="7" max="7"/>
    <col width="9" customWidth="1" min="8" max="8"/>
  </cols>
  <sheetData>
    <row r="1">
      <c r="A1" s="18" t="inlineStr">
        <is>
          <t>Витражи на чертежах, входящие в КП (координаты — точка выноски, мм). «1 из 3» — на чертеже больше, чем в КП; какие именно — по КП не определить</t>
        </is>
      </c>
    </row>
    <row r="3">
      <c r="A3" s="2" t="inlineStr">
        <is>
          <t>№</t>
        </is>
      </c>
      <c r="B3" s="2" t="inlineStr">
        <is>
          <t>Чертёж</t>
        </is>
      </c>
      <c r="C3" s="2" t="inlineStr">
        <is>
          <t>Литер</t>
        </is>
      </c>
      <c r="D3" s="2" t="inlineStr">
        <is>
          <t>Марка</t>
        </is>
      </c>
      <c r="E3" s="2" t="inlineStr">
        <is>
          <t>Дверь</t>
        </is>
      </c>
      <c r="F3" s="2" t="inlineStr">
        <is>
          <t>X, мм</t>
        </is>
      </c>
      <c r="G3" s="2" t="inlineStr">
        <is>
          <t>Y, мм</t>
        </is>
      </c>
      <c r="H3" s="2" t="inlineStr">
        <is>
          <t>В КП</t>
        </is>
      </c>
    </row>
    <row r="4">
      <c r="A4" s="3" t="n">
        <v>1</v>
      </c>
      <c r="B4" s="3" t="inlineStr">
        <is>
          <t>План на отм. -6.000</t>
        </is>
      </c>
      <c r="C4" s="3" t="inlineStr">
        <is>
          <t>А</t>
        </is>
      </c>
      <c r="D4" s="3" t="inlineStr">
        <is>
          <t>Вн-6</t>
        </is>
      </c>
      <c r="E4" s="3" t="inlineStr">
        <is>
          <t>Д17*</t>
        </is>
      </c>
      <c r="F4" s="19" t="n">
        <v>129957</v>
      </c>
      <c r="G4" s="19" t="n">
        <v>-240209</v>
      </c>
      <c r="H4" s="3" t="inlineStr">
        <is>
          <t>да</t>
        </is>
      </c>
    </row>
    <row r="5">
      <c r="A5" s="3" t="n">
        <v>2</v>
      </c>
      <c r="B5" s="3" t="inlineStr">
        <is>
          <t>План на отм. -6.000</t>
        </is>
      </c>
      <c r="C5" s="3" t="inlineStr">
        <is>
          <t>А</t>
        </is>
      </c>
      <c r="D5" s="3" t="inlineStr">
        <is>
          <t>Вн-6</t>
        </is>
      </c>
      <c r="E5" s="3" t="inlineStr">
        <is>
          <t>Д17*</t>
        </is>
      </c>
      <c r="F5" s="19" t="n">
        <v>140357</v>
      </c>
      <c r="G5" s="19" t="n">
        <v>-240209</v>
      </c>
      <c r="H5" s="3" t="inlineStr">
        <is>
          <t>да</t>
        </is>
      </c>
    </row>
    <row r="6">
      <c r="A6" s="3" t="n">
        <v>3</v>
      </c>
      <c r="B6" s="3" t="inlineStr">
        <is>
          <t>План на отм. -6.000</t>
        </is>
      </c>
      <c r="C6" s="3" t="inlineStr">
        <is>
          <t>А</t>
        </is>
      </c>
      <c r="D6" s="3" t="inlineStr">
        <is>
          <t>Вн-6</t>
        </is>
      </c>
      <c r="E6" s="3" t="inlineStr">
        <is>
          <t>Д17*</t>
        </is>
      </c>
      <c r="F6" s="19" t="n">
        <v>150757</v>
      </c>
      <c r="G6" s="19" t="n">
        <v>-240209</v>
      </c>
      <c r="H6" s="3" t="inlineStr">
        <is>
          <t>да</t>
        </is>
      </c>
    </row>
    <row r="7">
      <c r="A7" s="3" t="n">
        <v>4</v>
      </c>
      <c r="B7" s="3" t="inlineStr">
        <is>
          <t>План на отм. -6.000</t>
        </is>
      </c>
      <c r="C7" s="3" t="inlineStr">
        <is>
          <t>А</t>
        </is>
      </c>
      <c r="D7" s="3" t="inlineStr">
        <is>
          <t>Вн-8</t>
        </is>
      </c>
      <c r="E7" s="3" t="inlineStr"/>
      <c r="F7" s="19" t="n">
        <v>144757</v>
      </c>
      <c r="G7" s="19" t="n">
        <v>-240209</v>
      </c>
      <c r="H7" s="3" t="inlineStr">
        <is>
          <t>да</t>
        </is>
      </c>
    </row>
    <row r="8">
      <c r="A8" s="3" t="n">
        <v>5</v>
      </c>
      <c r="B8" s="3" t="inlineStr">
        <is>
          <t>План на отм. -6.000</t>
        </is>
      </c>
      <c r="C8" s="3" t="inlineStr">
        <is>
          <t>А</t>
        </is>
      </c>
      <c r="D8" s="3" t="inlineStr">
        <is>
          <t>Вн-14</t>
        </is>
      </c>
      <c r="E8" s="3" t="inlineStr">
        <is>
          <t>Д17*</t>
        </is>
      </c>
      <c r="F8" s="19" t="n">
        <v>134299</v>
      </c>
      <c r="G8" s="19" t="n">
        <v>-240209</v>
      </c>
      <c r="H8" s="3" t="inlineStr">
        <is>
          <t>да</t>
        </is>
      </c>
    </row>
    <row r="9">
      <c r="A9" s="3" t="n">
        <v>6</v>
      </c>
      <c r="B9" s="3" t="inlineStr">
        <is>
          <t>План на отм. -6.000</t>
        </is>
      </c>
      <c r="C9" s="3" t="inlineStr">
        <is>
          <t>А</t>
        </is>
      </c>
      <c r="D9" s="3" t="inlineStr">
        <is>
          <t>Вн-15</t>
        </is>
      </c>
      <c r="E9" s="3" t="inlineStr">
        <is>
          <t>Д17*</t>
        </is>
      </c>
      <c r="F9" s="19" t="n">
        <v>136557</v>
      </c>
      <c r="G9" s="19" t="n">
        <v>-240209</v>
      </c>
      <c r="H9" s="3" t="inlineStr">
        <is>
          <t>да</t>
        </is>
      </c>
    </row>
    <row r="10">
      <c r="A10" s="3" t="n">
        <v>7</v>
      </c>
      <c r="B10" s="3" t="inlineStr">
        <is>
          <t>План на отм. -6.000</t>
        </is>
      </c>
      <c r="C10" s="3" t="inlineStr">
        <is>
          <t>Б</t>
        </is>
      </c>
      <c r="D10" s="3" t="inlineStr">
        <is>
          <t>Вн-6</t>
        </is>
      </c>
      <c r="E10" s="3" t="inlineStr">
        <is>
          <t>Д17*</t>
        </is>
      </c>
      <c r="F10" s="19" t="n">
        <v>118357</v>
      </c>
      <c r="G10" s="19" t="n">
        <v>-240209</v>
      </c>
      <c r="H10" s="3" t="inlineStr">
        <is>
          <t>да</t>
        </is>
      </c>
    </row>
    <row r="11">
      <c r="A11" s="3" t="n">
        <v>8</v>
      </c>
      <c r="B11" s="3" t="inlineStr">
        <is>
          <t>План на отм. -6.000</t>
        </is>
      </c>
      <c r="C11" s="3" t="inlineStr">
        <is>
          <t>Б</t>
        </is>
      </c>
      <c r="D11" s="3" t="inlineStr">
        <is>
          <t>Вн-6</t>
        </is>
      </c>
      <c r="E11" s="3" t="inlineStr">
        <is>
          <t>Д17*</t>
        </is>
      </c>
      <c r="F11" s="19" t="n">
        <v>96357</v>
      </c>
      <c r="G11" s="19" t="n">
        <v>-240209</v>
      </c>
      <c r="H11" s="3" t="inlineStr">
        <is>
          <t>да</t>
        </is>
      </c>
    </row>
    <row r="12">
      <c r="A12" s="3" t="n">
        <v>9</v>
      </c>
      <c r="B12" s="3" t="inlineStr">
        <is>
          <t>План на отм. -6.000</t>
        </is>
      </c>
      <c r="C12" s="3" t="inlineStr">
        <is>
          <t>Б</t>
        </is>
      </c>
      <c r="D12" s="3" t="inlineStr">
        <is>
          <t>Вн-6</t>
        </is>
      </c>
      <c r="E12" s="3" t="inlineStr">
        <is>
          <t>Д17*</t>
        </is>
      </c>
      <c r="F12" s="19" t="n">
        <v>106757</v>
      </c>
      <c r="G12" s="19" t="n">
        <v>-240209</v>
      </c>
      <c r="H12" s="3" t="inlineStr">
        <is>
          <t>да</t>
        </is>
      </c>
    </row>
    <row r="13">
      <c r="A13" s="3" t="n">
        <v>10</v>
      </c>
      <c r="B13" s="3" t="inlineStr">
        <is>
          <t>План на отм. -6.000</t>
        </is>
      </c>
      <c r="C13" s="3" t="inlineStr">
        <is>
          <t>Б</t>
        </is>
      </c>
      <c r="D13" s="3" t="inlineStr">
        <is>
          <t>Вн-15</t>
        </is>
      </c>
      <c r="E13" s="3" t="inlineStr">
        <is>
          <t>Д17*</t>
        </is>
      </c>
      <c r="F13" s="19" t="n">
        <v>103802</v>
      </c>
      <c r="G13" s="19" t="n">
        <v>-240189</v>
      </c>
      <c r="H13" s="3" t="inlineStr">
        <is>
          <t>да</t>
        </is>
      </c>
    </row>
    <row r="14">
      <c r="A14" s="3" t="n">
        <v>11</v>
      </c>
      <c r="B14" s="3" t="inlineStr">
        <is>
          <t>План на отм. -6.000</t>
        </is>
      </c>
      <c r="C14" s="3" t="inlineStr">
        <is>
          <t>Б</t>
        </is>
      </c>
      <c r="D14" s="3" t="inlineStr">
        <is>
          <t>Вн-17</t>
        </is>
      </c>
      <c r="E14" s="3" t="inlineStr"/>
      <c r="F14" s="19" t="n">
        <v>111957</v>
      </c>
      <c r="G14" s="19" t="n">
        <v>-240209</v>
      </c>
      <c r="H14" s="3" t="inlineStr">
        <is>
          <t>да</t>
        </is>
      </c>
    </row>
    <row r="15">
      <c r="A15" s="3" t="n">
        <v>12</v>
      </c>
      <c r="B15" s="3" t="inlineStr">
        <is>
          <t>План на отм. -6.000</t>
        </is>
      </c>
      <c r="C15" s="3" t="inlineStr">
        <is>
          <t>Б</t>
        </is>
      </c>
      <c r="D15" s="3" t="inlineStr">
        <is>
          <t>Вн-18</t>
        </is>
      </c>
      <c r="E15" s="3" t="inlineStr">
        <is>
          <t>Д17*</t>
        </is>
      </c>
      <c r="F15" s="19" t="n">
        <v>101557</v>
      </c>
      <c r="G15" s="19" t="n">
        <v>-240209</v>
      </c>
      <c r="H15" s="3" t="inlineStr">
        <is>
          <t>да</t>
        </is>
      </c>
    </row>
    <row r="16">
      <c r="A16" s="3" t="n">
        <v>13</v>
      </c>
      <c r="B16" s="3" t="inlineStr">
        <is>
          <t>План на отм. -6.000</t>
        </is>
      </c>
      <c r="C16" s="3" t="inlineStr">
        <is>
          <t>В</t>
        </is>
      </c>
      <c r="D16" s="3" t="inlineStr">
        <is>
          <t>Вн-6</t>
        </is>
      </c>
      <c r="E16" s="3" t="inlineStr">
        <is>
          <t>Д17*</t>
        </is>
      </c>
      <c r="F16" s="19" t="n">
        <v>85312</v>
      </c>
      <c r="G16" s="19" t="n">
        <v>-240209</v>
      </c>
      <c r="H16" s="3" t="inlineStr">
        <is>
          <t>да</t>
        </is>
      </c>
    </row>
    <row r="17">
      <c r="A17" s="3" t="n">
        <v>14</v>
      </c>
      <c r="B17" s="3" t="inlineStr">
        <is>
          <t>План на отм. -6.000</t>
        </is>
      </c>
      <c r="C17" s="3" t="inlineStr">
        <is>
          <t>В</t>
        </is>
      </c>
      <c r="D17" s="3" t="inlineStr">
        <is>
          <t>Вн-13</t>
        </is>
      </c>
      <c r="E17" s="3" t="inlineStr"/>
      <c r="F17" s="19" t="n">
        <v>62827</v>
      </c>
      <c r="G17" s="19" t="n">
        <v>-240209</v>
      </c>
      <c r="H17" s="3" t="inlineStr">
        <is>
          <t>да</t>
        </is>
      </c>
    </row>
    <row r="18">
      <c r="A18" s="3" t="n">
        <v>15</v>
      </c>
      <c r="B18" s="3" t="inlineStr">
        <is>
          <t>План на отм. -6.000</t>
        </is>
      </c>
      <c r="C18" s="3" t="inlineStr">
        <is>
          <t>В</t>
        </is>
      </c>
      <c r="D18" s="3" t="inlineStr">
        <is>
          <t>Вн-16</t>
        </is>
      </c>
      <c r="E18" s="3" t="inlineStr">
        <is>
          <t>Д35</t>
        </is>
      </c>
      <c r="F18" s="19" t="n">
        <v>75379</v>
      </c>
      <c r="G18" s="19" t="n">
        <v>-240209</v>
      </c>
      <c r="H18" s="3" t="inlineStr">
        <is>
          <t>да</t>
        </is>
      </c>
    </row>
    <row r="19">
      <c r="A19" s="3" t="n">
        <v>16</v>
      </c>
      <c r="B19" s="3" t="inlineStr">
        <is>
          <t>План на отм. -6.000</t>
        </is>
      </c>
      <c r="C19" s="3" t="inlineStr">
        <is>
          <t>В</t>
        </is>
      </c>
      <c r="D19" s="3" t="inlineStr">
        <is>
          <t>Вн-16</t>
        </is>
      </c>
      <c r="E19" s="3" t="inlineStr">
        <is>
          <t>Д35</t>
        </is>
      </c>
      <c r="F19" s="19" t="n">
        <v>58219</v>
      </c>
      <c r="G19" s="19" t="n">
        <v>-240238</v>
      </c>
      <c r="H19" s="3" t="inlineStr">
        <is>
          <t>да</t>
        </is>
      </c>
    </row>
    <row r="20">
      <c r="A20" s="3" t="n">
        <v>17</v>
      </c>
      <c r="B20" s="3" t="inlineStr">
        <is>
          <t>План на отм. -6.000</t>
        </is>
      </c>
      <c r="C20" s="3" t="inlineStr">
        <is>
          <t>В</t>
        </is>
      </c>
      <c r="D20" s="3" t="inlineStr">
        <is>
          <t>Вн-16</t>
        </is>
      </c>
      <c r="E20" s="3" t="inlineStr">
        <is>
          <t>Д35</t>
        </is>
      </c>
      <c r="F20" s="19" t="n">
        <v>60392</v>
      </c>
      <c r="G20" s="19" t="n">
        <v>-240238</v>
      </c>
      <c r="H20" s="3" t="inlineStr">
        <is>
          <t>да</t>
        </is>
      </c>
    </row>
    <row r="21">
      <c r="A21" s="3" t="n">
        <v>18</v>
      </c>
      <c r="B21" s="3" t="inlineStr">
        <is>
          <t>План на отм. -6.000</t>
        </is>
      </c>
      <c r="C21" s="3" t="inlineStr">
        <is>
          <t>В</t>
        </is>
      </c>
      <c r="D21" s="3" t="inlineStr">
        <is>
          <t>Вн-17</t>
        </is>
      </c>
      <c r="E21" s="3" t="inlineStr">
        <is>
          <t>Д17*</t>
        </is>
      </c>
      <c r="F21" s="19" t="n">
        <v>78410</v>
      </c>
      <c r="G21" s="19" t="n">
        <v>-240123</v>
      </c>
      <c r="H21" s="3" t="inlineStr">
        <is>
          <t>да</t>
        </is>
      </c>
    </row>
    <row r="22">
      <c r="A22" s="3" t="n">
        <v>19</v>
      </c>
      <c r="B22" s="3" t="inlineStr">
        <is>
          <t>План на отм. -6.000</t>
        </is>
      </c>
      <c r="C22" s="3" t="inlineStr">
        <is>
          <t>В</t>
        </is>
      </c>
      <c r="D22" s="3" t="inlineStr">
        <is>
          <t>Вн-19</t>
        </is>
      </c>
      <c r="E22" s="3" t="inlineStr"/>
      <c r="F22" s="19" t="n">
        <v>66863</v>
      </c>
      <c r="G22" s="19" t="n">
        <v>-240209</v>
      </c>
      <c r="H22" s="3" t="inlineStr">
        <is>
          <t>да</t>
        </is>
      </c>
    </row>
    <row r="23">
      <c r="A23" s="3" t="n">
        <v>20</v>
      </c>
      <c r="B23" s="3" t="inlineStr">
        <is>
          <t>План на отм. -6.000</t>
        </is>
      </c>
      <c r="C23" s="3" t="inlineStr">
        <is>
          <t>В</t>
        </is>
      </c>
      <c r="D23" s="3" t="inlineStr">
        <is>
          <t>Вн-19</t>
        </is>
      </c>
      <c r="E23" s="3" t="inlineStr">
        <is>
          <t>Д17*</t>
        </is>
      </c>
      <c r="F23" s="19" t="n">
        <v>72058</v>
      </c>
      <c r="G23" s="19" t="n">
        <v>-240209</v>
      </c>
      <c r="H23" s="3" t="inlineStr">
        <is>
          <t>да</t>
        </is>
      </c>
    </row>
    <row r="24">
      <c r="A24" s="3" t="n">
        <v>21</v>
      </c>
      <c r="B24" s="3" t="inlineStr">
        <is>
          <t>План на отм. -6.000</t>
        </is>
      </c>
      <c r="C24" s="3" t="inlineStr">
        <is>
          <t>Г</t>
        </is>
      </c>
      <c r="D24" s="3" t="inlineStr">
        <is>
          <t>Вн-6</t>
        </is>
      </c>
      <c r="E24" s="3" t="inlineStr">
        <is>
          <t>Д17*</t>
        </is>
      </c>
      <c r="F24" s="19" t="n">
        <v>38425</v>
      </c>
      <c r="G24" s="19" t="n">
        <v>-227349</v>
      </c>
      <c r="H24" s="3" t="inlineStr">
        <is>
          <t>1 из 3</t>
        </is>
      </c>
    </row>
    <row r="25">
      <c r="A25" s="3" t="n">
        <v>22</v>
      </c>
      <c r="B25" s="3" t="inlineStr">
        <is>
          <t>План на отм. -6.000</t>
        </is>
      </c>
      <c r="C25" s="3" t="inlineStr">
        <is>
          <t>Г</t>
        </is>
      </c>
      <c r="D25" s="3" t="inlineStr">
        <is>
          <t>Вн-6</t>
        </is>
      </c>
      <c r="E25" s="3" t="inlineStr">
        <is>
          <t>Д17*</t>
        </is>
      </c>
      <c r="F25" s="19" t="n">
        <v>43228</v>
      </c>
      <c r="G25" s="19" t="n">
        <v>-240130</v>
      </c>
      <c r="H25" s="3" t="inlineStr">
        <is>
          <t>1 из 3</t>
        </is>
      </c>
    </row>
    <row r="26">
      <c r="A26" s="3" t="n">
        <v>23</v>
      </c>
      <c r="B26" s="3" t="inlineStr">
        <is>
          <t>План на отм. -6.000</t>
        </is>
      </c>
      <c r="C26" s="3" t="inlineStr">
        <is>
          <t>Г</t>
        </is>
      </c>
      <c r="D26" s="3" t="inlineStr">
        <is>
          <t>Вн-6</t>
        </is>
      </c>
      <c r="E26" s="3" t="inlineStr">
        <is>
          <t>Д17*</t>
        </is>
      </c>
      <c r="F26" s="19" t="n">
        <v>53628</v>
      </c>
      <c r="G26" s="19" t="n">
        <v>-240130</v>
      </c>
      <c r="H26" s="3" t="inlineStr">
        <is>
          <t>1 из 3</t>
        </is>
      </c>
    </row>
    <row r="27">
      <c r="A27" s="3" t="n">
        <v>24</v>
      </c>
      <c r="B27" s="3" t="inlineStr">
        <is>
          <t>План на отм. -6.000</t>
        </is>
      </c>
      <c r="C27" s="3" t="inlineStr">
        <is>
          <t>Г</t>
        </is>
      </c>
      <c r="D27" s="3" t="inlineStr">
        <is>
          <t>Вн-10</t>
        </is>
      </c>
      <c r="E27" s="3" t="inlineStr">
        <is>
          <t>Д17*</t>
        </is>
      </c>
      <c r="F27" s="19" t="n">
        <v>38425</v>
      </c>
      <c r="G27" s="19" t="n">
        <v>-203499</v>
      </c>
      <c r="H27" s="3" t="inlineStr">
        <is>
          <t>да</t>
        </is>
      </c>
    </row>
    <row r="28">
      <c r="A28" s="3" t="n">
        <v>25</v>
      </c>
      <c r="B28" s="3" t="inlineStr">
        <is>
          <t>План на отм. -6.000</t>
        </is>
      </c>
      <c r="C28" s="3" t="inlineStr">
        <is>
          <t>Г</t>
        </is>
      </c>
      <c r="D28" s="3" t="inlineStr">
        <is>
          <t>Вн-11</t>
        </is>
      </c>
      <c r="E28" s="3" t="inlineStr"/>
      <c r="F28" s="19" t="n">
        <v>38425</v>
      </c>
      <c r="G28" s="19" t="n">
        <v>-213004</v>
      </c>
      <c r="H28" s="3" t="inlineStr">
        <is>
          <t>да</t>
        </is>
      </c>
    </row>
    <row r="29">
      <c r="A29" s="3" t="n">
        <v>26</v>
      </c>
      <c r="B29" s="3" t="inlineStr">
        <is>
          <t>План на отм. -6.000</t>
        </is>
      </c>
      <c r="C29" s="3" t="inlineStr">
        <is>
          <t>Г</t>
        </is>
      </c>
      <c r="D29" s="3" t="inlineStr">
        <is>
          <t>Вн-12</t>
        </is>
      </c>
      <c r="E29" s="3" t="inlineStr">
        <is>
          <t>Д17*</t>
        </is>
      </c>
      <c r="F29" s="19" t="n">
        <v>38425</v>
      </c>
      <c r="G29" s="19" t="n">
        <v>-217364</v>
      </c>
      <c r="H29" s="3" t="inlineStr">
        <is>
          <t>да</t>
        </is>
      </c>
    </row>
    <row r="30">
      <c r="A30" s="3" t="n">
        <v>27</v>
      </c>
      <c r="B30" s="3" t="inlineStr">
        <is>
          <t>План на отм. -6.000</t>
        </is>
      </c>
      <c r="C30" s="3" t="inlineStr">
        <is>
          <t>Г</t>
        </is>
      </c>
      <c r="D30" s="3" t="inlineStr">
        <is>
          <t>Вн-17</t>
        </is>
      </c>
      <c r="E30" s="3" t="inlineStr"/>
      <c r="F30" s="19" t="n">
        <v>38425</v>
      </c>
      <c r="G30" s="19" t="n">
        <v>-237749</v>
      </c>
      <c r="H30" s="3" t="inlineStr">
        <is>
          <t>1 из 2</t>
        </is>
      </c>
    </row>
    <row r="31">
      <c r="A31" s="3" t="n">
        <v>28</v>
      </c>
      <c r="B31" s="3" t="inlineStr">
        <is>
          <t>План на отм. -6.000</t>
        </is>
      </c>
      <c r="C31" s="3" t="inlineStr">
        <is>
          <t>Г</t>
        </is>
      </c>
      <c r="D31" s="3" t="inlineStr">
        <is>
          <t>Вн-17</t>
        </is>
      </c>
      <c r="E31" s="3" t="inlineStr"/>
      <c r="F31" s="19" t="n">
        <v>47835</v>
      </c>
      <c r="G31" s="19" t="n">
        <v>-240108</v>
      </c>
      <c r="H31" s="3" t="inlineStr">
        <is>
          <t>1 из 2</t>
        </is>
      </c>
    </row>
    <row r="32">
      <c r="A32" s="3" t="n">
        <v>29</v>
      </c>
      <c r="B32" s="3" t="inlineStr">
        <is>
          <t>План на отм. -6.000</t>
        </is>
      </c>
      <c r="C32" s="3" t="inlineStr">
        <is>
          <t>Г</t>
        </is>
      </c>
      <c r="D32" s="3" t="inlineStr">
        <is>
          <t>Вн-20</t>
        </is>
      </c>
      <c r="E32" s="3" t="inlineStr"/>
      <c r="F32" s="19" t="n">
        <v>38425</v>
      </c>
      <c r="G32" s="19" t="n">
        <v>-221999</v>
      </c>
      <c r="H32" s="3" t="inlineStr">
        <is>
          <t>да</t>
        </is>
      </c>
    </row>
    <row r="33">
      <c r="A33" s="3" t="n">
        <v>30</v>
      </c>
      <c r="B33" s="3" t="inlineStr">
        <is>
          <t>План на отм. -6.000</t>
        </is>
      </c>
      <c r="C33" s="3" t="inlineStr">
        <is>
          <t>Г</t>
        </is>
      </c>
      <c r="D33" s="3" t="inlineStr">
        <is>
          <t>Вн-21</t>
        </is>
      </c>
      <c r="E33" s="3" t="inlineStr"/>
      <c r="F33" s="19" t="n">
        <v>38425</v>
      </c>
      <c r="G33" s="19" t="n">
        <v>-231909</v>
      </c>
      <c r="H33" s="3" t="inlineStr">
        <is>
          <t>да</t>
        </is>
      </c>
    </row>
    <row r="34">
      <c r="A34" s="3" t="n">
        <v>31</v>
      </c>
      <c r="B34" s="3" t="inlineStr">
        <is>
          <t>План на отм. -6.000</t>
        </is>
      </c>
      <c r="C34" s="3" t="inlineStr">
        <is>
          <t>Д</t>
        </is>
      </c>
      <c r="D34" s="3" t="inlineStr">
        <is>
          <t>Вн-6</t>
        </is>
      </c>
      <c r="E34" s="3" t="inlineStr"/>
      <c r="F34" s="19" t="n">
        <v>38538</v>
      </c>
      <c r="G34" s="19" t="n">
        <v>-179543</v>
      </c>
      <c r="H34" s="3" t="inlineStr">
        <is>
          <t>да</t>
        </is>
      </c>
    </row>
    <row r="35">
      <c r="A35" s="3" t="n">
        <v>32</v>
      </c>
      <c r="B35" s="3" t="inlineStr">
        <is>
          <t>План на отм. -6.000</t>
        </is>
      </c>
      <c r="C35" s="3" t="inlineStr">
        <is>
          <t>Д</t>
        </is>
      </c>
      <c r="D35" s="3" t="inlineStr">
        <is>
          <t>Вн-6</t>
        </is>
      </c>
      <c r="E35" s="3" t="inlineStr"/>
      <c r="F35" s="19" t="n">
        <v>38538</v>
      </c>
      <c r="G35" s="19" t="n">
        <v>-169143</v>
      </c>
      <c r="H35" s="3" t="inlineStr">
        <is>
          <t>да</t>
        </is>
      </c>
    </row>
    <row r="36">
      <c r="A36" s="3" t="n">
        <v>33</v>
      </c>
      <c r="B36" s="3" t="inlineStr">
        <is>
          <t>План на отм. -6.000</t>
        </is>
      </c>
      <c r="C36" s="3" t="inlineStr">
        <is>
          <t>Д</t>
        </is>
      </c>
      <c r="D36" s="3" t="inlineStr">
        <is>
          <t>Вн-7</t>
        </is>
      </c>
      <c r="E36" s="3" t="inlineStr"/>
      <c r="F36" s="19" t="n">
        <v>38538</v>
      </c>
      <c r="G36" s="19" t="n">
        <v>-174933</v>
      </c>
      <c r="H36" s="3" t="inlineStr">
        <is>
          <t>да</t>
        </is>
      </c>
    </row>
    <row r="37">
      <c r="A37" s="3" t="n">
        <v>34</v>
      </c>
      <c r="B37" s="3" t="inlineStr">
        <is>
          <t>План на отм. -6.000</t>
        </is>
      </c>
      <c r="C37" s="3" t="inlineStr">
        <is>
          <t>Д</t>
        </is>
      </c>
      <c r="D37" s="3" t="inlineStr">
        <is>
          <t>Вн-9</t>
        </is>
      </c>
      <c r="E37" s="3" t="inlineStr">
        <is>
          <t>Д17*</t>
        </is>
      </c>
      <c r="F37" s="19" t="n">
        <v>38538</v>
      </c>
      <c r="G37" s="19" t="n">
        <v>-195128</v>
      </c>
      <c r="H37" s="3" t="inlineStr">
        <is>
          <t>да</t>
        </is>
      </c>
    </row>
    <row r="38">
      <c r="A38" s="3" t="n">
        <v>35</v>
      </c>
      <c r="B38" s="3" t="inlineStr">
        <is>
          <t>План на отм. -6.000</t>
        </is>
      </c>
      <c r="C38" s="3" t="inlineStr">
        <is>
          <t>Д</t>
        </is>
      </c>
      <c r="D38" s="3" t="inlineStr">
        <is>
          <t>Вн-17</t>
        </is>
      </c>
      <c r="E38" s="3" t="inlineStr"/>
      <c r="F38" s="19" t="n">
        <v>38538</v>
      </c>
      <c r="G38" s="19" t="n">
        <v>-189943</v>
      </c>
      <c r="H38" s="3" t="inlineStr">
        <is>
          <t>да</t>
        </is>
      </c>
    </row>
    <row r="39">
      <c r="A39" s="3" t="n">
        <v>36</v>
      </c>
      <c r="B39" s="3" t="inlineStr">
        <is>
          <t>План на отм. 0.000</t>
        </is>
      </c>
      <c r="C39" s="3" t="inlineStr">
        <is>
          <t>А</t>
        </is>
      </c>
      <c r="D39" s="3" t="inlineStr">
        <is>
          <t>Вн-22</t>
        </is>
      </c>
      <c r="E39" s="3" t="inlineStr">
        <is>
          <t>Д17*</t>
        </is>
      </c>
      <c r="F39" s="19" t="n">
        <v>112864</v>
      </c>
      <c r="G39" s="19" t="n">
        <v>2824</v>
      </c>
      <c r="H39" s="3" t="inlineStr">
        <is>
          <t>да</t>
        </is>
      </c>
    </row>
    <row r="40">
      <c r="A40" s="3" t="n">
        <v>37</v>
      </c>
      <c r="B40" s="3" t="inlineStr">
        <is>
          <t>План на отм. 0.000</t>
        </is>
      </c>
      <c r="C40" s="3" t="inlineStr">
        <is>
          <t>А</t>
        </is>
      </c>
      <c r="D40" s="3" t="inlineStr">
        <is>
          <t>Вн-22</t>
        </is>
      </c>
      <c r="E40" s="3" t="inlineStr">
        <is>
          <t>Д17*</t>
        </is>
      </c>
      <c r="F40" s="19" t="n">
        <v>106184</v>
      </c>
      <c r="G40" s="19" t="n">
        <v>2691</v>
      </c>
      <c r="H40" s="3" t="inlineStr">
        <is>
          <t>да</t>
        </is>
      </c>
    </row>
    <row r="41">
      <c r="A41" s="3" t="n">
        <v>38</v>
      </c>
      <c r="B41" s="3" t="inlineStr">
        <is>
          <t>План на отм. 0.000</t>
        </is>
      </c>
      <c r="C41" s="3" t="inlineStr">
        <is>
          <t>А</t>
        </is>
      </c>
      <c r="D41" s="3" t="inlineStr">
        <is>
          <t>Вн-22</t>
        </is>
      </c>
      <c r="E41" s="3" t="inlineStr">
        <is>
          <t>Д17*</t>
        </is>
      </c>
      <c r="F41" s="19" t="n">
        <v>100327</v>
      </c>
      <c r="G41" s="19" t="n">
        <v>2943</v>
      </c>
      <c r="H41" s="3" t="inlineStr">
        <is>
          <t>да</t>
        </is>
      </c>
    </row>
    <row r="42">
      <c r="A42" s="3" t="n">
        <v>39</v>
      </c>
      <c r="B42" s="3" t="inlineStr">
        <is>
          <t>План на отм. 0.000</t>
        </is>
      </c>
      <c r="C42" s="3" t="inlineStr">
        <is>
          <t>А</t>
        </is>
      </c>
      <c r="D42" s="3" t="inlineStr">
        <is>
          <t>Вн-22</t>
        </is>
      </c>
      <c r="E42" s="3" t="inlineStr">
        <is>
          <t>Д17*</t>
        </is>
      </c>
      <c r="F42" s="19" t="n">
        <v>93122</v>
      </c>
      <c r="G42" s="19" t="n">
        <v>2886</v>
      </c>
      <c r="H42" s="3" t="inlineStr">
        <is>
          <t>да</t>
        </is>
      </c>
    </row>
    <row r="43">
      <c r="A43" s="3" t="n">
        <v>40</v>
      </c>
      <c r="B43" s="3" t="inlineStr">
        <is>
          <t>План на отм. 0.000</t>
        </is>
      </c>
      <c r="C43" s="3" t="inlineStr">
        <is>
          <t>А</t>
        </is>
      </c>
      <c r="D43" s="3" t="inlineStr">
        <is>
          <t>Вн-22</t>
        </is>
      </c>
      <c r="E43" s="3" t="inlineStr">
        <is>
          <t>Д17*</t>
        </is>
      </c>
      <c r="F43" s="19" t="n">
        <v>86467</v>
      </c>
      <c r="G43" s="19" t="n">
        <v>2773</v>
      </c>
      <c r="H43" s="3" t="inlineStr">
        <is>
          <t>да</t>
        </is>
      </c>
    </row>
    <row r="44">
      <c r="A44" s="3" t="n">
        <v>41</v>
      </c>
      <c r="B44" s="3" t="inlineStr">
        <is>
          <t>План на отм. 0.000</t>
        </is>
      </c>
      <c r="C44" s="3" t="inlineStr">
        <is>
          <t>Б</t>
        </is>
      </c>
      <c r="D44" s="3" t="inlineStr">
        <is>
          <t>Вн-22</t>
        </is>
      </c>
      <c r="E44" s="3" t="inlineStr">
        <is>
          <t>Д17*</t>
        </is>
      </c>
      <c r="F44" s="19" t="n">
        <v>79305</v>
      </c>
      <c r="G44" s="19" t="n">
        <v>3099</v>
      </c>
      <c r="H44" s="3" t="inlineStr">
        <is>
          <t>да</t>
        </is>
      </c>
    </row>
    <row r="45">
      <c r="A45" s="3" t="n">
        <v>42</v>
      </c>
      <c r="B45" s="3" t="inlineStr">
        <is>
          <t>План на отм. 0.000</t>
        </is>
      </c>
      <c r="C45" s="3" t="inlineStr">
        <is>
          <t>Б</t>
        </is>
      </c>
      <c r="D45" s="3" t="inlineStr">
        <is>
          <t>Вн-22</t>
        </is>
      </c>
      <c r="E45" s="3" t="inlineStr">
        <is>
          <t>Д17*</t>
        </is>
      </c>
      <c r="F45" s="19" t="n">
        <v>72445</v>
      </c>
      <c r="G45" s="19" t="n">
        <v>3048</v>
      </c>
      <c r="H45" s="3" t="inlineStr">
        <is>
          <t>да</t>
        </is>
      </c>
    </row>
    <row r="46">
      <c r="A46" s="3" t="n">
        <v>43</v>
      </c>
      <c r="B46" s="3" t="inlineStr">
        <is>
          <t>План на отм. 0.000</t>
        </is>
      </c>
      <c r="C46" s="3" t="inlineStr">
        <is>
          <t>Б</t>
        </is>
      </c>
      <c r="D46" s="3" t="inlineStr">
        <is>
          <t>Вн-22</t>
        </is>
      </c>
      <c r="E46" s="3" t="inlineStr">
        <is>
          <t>Д17*</t>
        </is>
      </c>
      <c r="F46" s="19" t="n">
        <v>64804</v>
      </c>
      <c r="G46" s="19" t="n">
        <v>2917</v>
      </c>
      <c r="H46" s="3" t="inlineStr">
        <is>
          <t>да</t>
        </is>
      </c>
    </row>
    <row r="47">
      <c r="A47" s="3" t="n">
        <v>44</v>
      </c>
      <c r="B47" s="3" t="inlineStr">
        <is>
          <t>План на отм. 0.000</t>
        </is>
      </c>
      <c r="C47" s="3" t="inlineStr">
        <is>
          <t>Б</t>
        </is>
      </c>
      <c r="D47" s="3" t="inlineStr">
        <is>
          <t>Вн-22</t>
        </is>
      </c>
      <c r="E47" s="3" t="inlineStr">
        <is>
          <t>Д17*</t>
        </is>
      </c>
      <c r="F47" s="19" t="n">
        <v>59604</v>
      </c>
      <c r="G47" s="19" t="n">
        <v>2985</v>
      </c>
      <c r="H47" s="3" t="inlineStr">
        <is>
          <t>да</t>
        </is>
      </c>
    </row>
    <row r="48">
      <c r="A48" s="3" t="n">
        <v>45</v>
      </c>
      <c r="B48" s="3" t="inlineStr">
        <is>
          <t>План на отм. 0.000</t>
        </is>
      </c>
      <c r="C48" s="3" t="inlineStr">
        <is>
          <t>Б</t>
        </is>
      </c>
      <c r="D48" s="3" t="inlineStr">
        <is>
          <t>Вн-22</t>
        </is>
      </c>
      <c r="E48" s="3" t="inlineStr">
        <is>
          <t>Д17*</t>
        </is>
      </c>
      <c r="F48" s="19" t="n">
        <v>53064</v>
      </c>
      <c r="G48" s="19" t="n">
        <v>2948</v>
      </c>
      <c r="H48" s="3" t="inlineStr">
        <is>
          <t>да</t>
        </is>
      </c>
    </row>
    <row r="49">
      <c r="A49" s="3" t="n">
        <v>46</v>
      </c>
      <c r="B49" s="3" t="inlineStr">
        <is>
          <t>План на отм. 0.000</t>
        </is>
      </c>
      <c r="C49" s="3" t="inlineStr">
        <is>
          <t>В</t>
        </is>
      </c>
      <c r="D49" s="3" t="inlineStr">
        <is>
          <t>Вн-22</t>
        </is>
      </c>
      <c r="E49" s="3" t="inlineStr">
        <is>
          <t>Д35</t>
        </is>
      </c>
      <c r="F49" s="19" t="n">
        <v>45611</v>
      </c>
      <c r="G49" s="19" t="n">
        <v>3036</v>
      </c>
      <c r="H49" s="3" t="inlineStr">
        <is>
          <t>1 из 4</t>
        </is>
      </c>
    </row>
    <row r="50">
      <c r="A50" s="3" t="n">
        <v>47</v>
      </c>
      <c r="B50" s="3" t="inlineStr">
        <is>
          <t>План на отм. 0.000</t>
        </is>
      </c>
      <c r="C50" s="3" t="inlineStr">
        <is>
          <t>В</t>
        </is>
      </c>
      <c r="D50" s="3" t="inlineStr">
        <is>
          <t>Вн-22</t>
        </is>
      </c>
      <c r="E50" s="3" t="inlineStr">
        <is>
          <t>Д17*</t>
        </is>
      </c>
      <c r="F50" s="19" t="n">
        <v>39399</v>
      </c>
      <c r="G50" s="19" t="n">
        <v>2969</v>
      </c>
      <c r="H50" s="3" t="inlineStr">
        <is>
          <t>1 из 4</t>
        </is>
      </c>
    </row>
    <row r="51">
      <c r="A51" s="3" t="n">
        <v>48</v>
      </c>
      <c r="B51" s="3" t="inlineStr">
        <is>
          <t>План на отм. 0.000</t>
        </is>
      </c>
      <c r="C51" s="3" t="inlineStr">
        <is>
          <t>В</t>
        </is>
      </c>
      <c r="D51" s="3" t="inlineStr">
        <is>
          <t>Вн-22</t>
        </is>
      </c>
      <c r="E51" s="3" t="inlineStr">
        <is>
          <t>Д17*</t>
        </is>
      </c>
      <c r="F51" s="19" t="n">
        <v>33459</v>
      </c>
      <c r="G51" s="19" t="n">
        <v>3046</v>
      </c>
      <c r="H51" s="3" t="inlineStr">
        <is>
          <t>1 из 4</t>
        </is>
      </c>
    </row>
    <row r="52">
      <c r="A52" s="3" t="n">
        <v>49</v>
      </c>
      <c r="B52" s="3" t="inlineStr">
        <is>
          <t>План на отм. 0.000</t>
        </is>
      </c>
      <c r="C52" s="3" t="inlineStr">
        <is>
          <t>В</t>
        </is>
      </c>
      <c r="D52" s="3" t="inlineStr">
        <is>
          <t>Вн-22</t>
        </is>
      </c>
      <c r="E52" s="3" t="inlineStr">
        <is>
          <t>Д17*</t>
        </is>
      </c>
      <c r="F52" s="19" t="n">
        <v>26027</v>
      </c>
      <c r="G52" s="19" t="n">
        <v>2978</v>
      </c>
      <c r="H52" s="3" t="inlineStr">
        <is>
          <t>1 из 4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2026-09-28T07:44:23Z</dcterms:created>
  <dcterms:modified xsi:type="dcterms:W3CDTF">2026-09-28T07:44:23Z</dcterms:modified>
</cp:coreProperties>
</file>