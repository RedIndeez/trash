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пецификация" sheetId="1" state="visible" r:id="rId1"/>
    <sheet name="По литерам" sheetId="2" state="visible" r:id="rId2"/>
    <sheet name="Привязка к чертежа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2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 wrapText="1"/>
    </xf>
    <xf numFmtId="0" fontId="2" fillId="0" borderId="0" pivotButton="0" quotePrefix="0" xfId="0"/>
    <xf numFmtId="3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3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9" customWidth="1" min="3" max="3"/>
    <col width="9" customWidth="1" min="4" max="4"/>
    <col width="10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8" customWidth="1" min="12" max="12"/>
    <col width="11" customWidth="1" min="13" max="13"/>
    <col width="10" customWidth="1" min="14" max="14"/>
    <col width="13" customWidth="1" min="15" max="15"/>
    <col width="34" customWidth="1" min="16" max="16"/>
  </cols>
  <sheetData>
    <row r="1">
      <c r="A1" s="1" t="inlineStr">
        <is>
          <t>Спецификация витражей (по планам на отм. -6.000 и 0.000, марки выделены красным)</t>
        </is>
      </c>
    </row>
    <row r="3" ht="62" customHeight="1">
      <c r="A3" s="2" t="inlineStr">
        <is>
          <t>№</t>
        </is>
      </c>
      <c r="B3" s="2" t="inlineStr">
        <is>
          <t>Марка</t>
        </is>
      </c>
      <c r="C3" s="2" t="inlineStr">
        <is>
          <t>Длина, мм</t>
        </is>
      </c>
      <c r="D3" s="2" t="inlineStr">
        <is>
          <t>Высота, мм</t>
        </is>
      </c>
      <c r="E3" s="2" t="inlineStr">
        <is>
          <t>Площадь 1 шт, м²</t>
        </is>
      </c>
      <c r="F3" s="2" t="inlineStr">
        <is>
          <t>Литер А</t>
        </is>
      </c>
      <c r="G3" s="2" t="inlineStr">
        <is>
          <t>Литер Б</t>
        </is>
      </c>
      <c r="H3" s="2" t="inlineStr">
        <is>
          <t>Литер В</t>
        </is>
      </c>
      <c r="I3" s="2" t="inlineStr">
        <is>
          <t>Литер Г</t>
        </is>
      </c>
      <c r="J3" s="2" t="inlineStr">
        <is>
          <t>Литер Д</t>
        </is>
      </c>
      <c r="K3" s="2" t="inlineStr">
        <is>
          <t>Литер Ж</t>
        </is>
      </c>
      <c r="L3" s="2" t="inlineStr">
        <is>
          <t>Всего, шт</t>
        </is>
      </c>
      <c r="M3" s="2" t="inlineStr">
        <is>
          <t>Площадь всего, м²</t>
        </is>
      </c>
      <c r="N3" s="2" t="inlineStr">
        <is>
          <t>Отметка</t>
        </is>
      </c>
      <c r="O3" s="2" t="inlineStr">
        <is>
          <t>Дверь в составе (по чертежу)</t>
        </is>
      </c>
      <c r="P3" s="2" t="inlineStr">
        <is>
          <t>Примечание</t>
        </is>
      </c>
    </row>
    <row r="4">
      <c r="A4" s="3" t="n">
        <v>1</v>
      </c>
      <c r="B4" s="3" t="inlineStr">
        <is>
          <t>Вн-1</t>
        </is>
      </c>
      <c r="C4" s="3" t="n">
        <v>4750</v>
      </c>
      <c r="D4" s="3" t="n">
        <v>3870</v>
      </c>
      <c r="E4" s="4">
        <f>ROUND(C4*D4/1000000,2)</f>
        <v/>
      </c>
      <c r="F4" s="3" t="n"/>
      <c r="G4" s="3" t="n"/>
      <c r="H4" s="3" t="n"/>
      <c r="I4" s="3" t="n"/>
      <c r="J4" s="3" t="n"/>
      <c r="K4" s="3" t="n">
        <v>1</v>
      </c>
      <c r="L4" s="3">
        <f>SUM(F4:K4)</f>
        <v/>
      </c>
      <c r="M4" s="5">
        <f>ROUND(L4*E4,2)</f>
        <v/>
      </c>
      <c r="N4" s="3" t="inlineStr">
        <is>
          <t>0.000</t>
        </is>
      </c>
      <c r="O4" s="6" t="inlineStr"/>
      <c r="P4" s="6" t="inlineStr"/>
    </row>
    <row r="5">
      <c r="A5" s="3" t="n">
        <v>2</v>
      </c>
      <c r="B5" s="3" t="inlineStr">
        <is>
          <t>Вн-2</t>
        </is>
      </c>
      <c r="C5" s="3" t="n">
        <v>4750</v>
      </c>
      <c r="D5" s="3" t="n">
        <v>3870</v>
      </c>
      <c r="E5" s="4">
        <f>ROUND(C5*D5/1000000,2)</f>
        <v/>
      </c>
      <c r="F5" s="3" t="n"/>
      <c r="G5" s="3" t="n"/>
      <c r="H5" s="3" t="n"/>
      <c r="I5" s="3" t="n"/>
      <c r="J5" s="3" t="n"/>
      <c r="K5" s="3" t="n">
        <v>1</v>
      </c>
      <c r="L5" s="3">
        <f>SUM(F5:K5)</f>
        <v/>
      </c>
      <c r="M5" s="5">
        <f>ROUND(L5*E5,2)</f>
        <v/>
      </c>
      <c r="N5" s="3" t="inlineStr">
        <is>
          <t>0.000</t>
        </is>
      </c>
      <c r="O5" s="6" t="inlineStr"/>
      <c r="P5" s="6" t="inlineStr"/>
    </row>
    <row r="6">
      <c r="A6" s="3" t="n">
        <v>3</v>
      </c>
      <c r="B6" s="3" t="inlineStr">
        <is>
          <t>Вн-3</t>
        </is>
      </c>
      <c r="C6" s="3" t="n">
        <v>6100</v>
      </c>
      <c r="D6" s="3" t="n">
        <v>3870</v>
      </c>
      <c r="E6" s="4">
        <f>ROUND(C6*D6/1000000,2)</f>
        <v/>
      </c>
      <c r="F6" s="3" t="n"/>
      <c r="G6" s="3" t="n"/>
      <c r="H6" s="3" t="n"/>
      <c r="I6" s="3" t="n"/>
      <c r="J6" s="3" t="n"/>
      <c r="K6" s="3" t="n">
        <v>1</v>
      </c>
      <c r="L6" s="3">
        <f>SUM(F6:K6)</f>
        <v/>
      </c>
      <c r="M6" s="5">
        <f>ROUND(L6*E6,2)</f>
        <v/>
      </c>
      <c r="N6" s="3" t="inlineStr">
        <is>
          <t>0.000</t>
        </is>
      </c>
      <c r="O6" s="6" t="inlineStr"/>
      <c r="P6" s="6" t="inlineStr"/>
    </row>
    <row r="7">
      <c r="A7" s="3" t="n">
        <v>4</v>
      </c>
      <c r="B7" s="3" t="inlineStr">
        <is>
          <t>Вн-4</t>
        </is>
      </c>
      <c r="C7" s="3" t="n">
        <v>5400</v>
      </c>
      <c r="D7" s="3" t="n">
        <v>3470</v>
      </c>
      <c r="E7" s="4">
        <f>ROUND(C7*D7/1000000,2)</f>
        <v/>
      </c>
      <c r="F7" s="3" t="n"/>
      <c r="G7" s="3" t="n"/>
      <c r="H7" s="3" t="n"/>
      <c r="I7" s="3" t="n"/>
      <c r="J7" s="3" t="n"/>
      <c r="K7" s="3" t="n">
        <v>1</v>
      </c>
      <c r="L7" s="3">
        <f>SUM(F7:K7)</f>
        <v/>
      </c>
      <c r="M7" s="5">
        <f>ROUND(L7*E7,2)</f>
        <v/>
      </c>
      <c r="N7" s="3" t="inlineStr">
        <is>
          <t>0.000</t>
        </is>
      </c>
      <c r="O7" s="6" t="inlineStr"/>
      <c r="P7" s="6" t="inlineStr"/>
    </row>
    <row r="8">
      <c r="A8" s="3" t="n">
        <v>5</v>
      </c>
      <c r="B8" s="3" t="inlineStr">
        <is>
          <t>Вн-5</t>
        </is>
      </c>
      <c r="C8" s="3" t="n">
        <v>7800</v>
      </c>
      <c r="D8" s="3" t="n">
        <v>3470</v>
      </c>
      <c r="E8" s="4">
        <f>ROUND(C8*D8/1000000,2)</f>
        <v/>
      </c>
      <c r="F8" s="3" t="n"/>
      <c r="G8" s="3" t="n"/>
      <c r="H8" s="3" t="n"/>
      <c r="I8" s="3" t="n"/>
      <c r="J8" s="3" t="n"/>
      <c r="K8" s="3" t="n">
        <v>1</v>
      </c>
      <c r="L8" s="3">
        <f>SUM(F8:K8)</f>
        <v/>
      </c>
      <c r="M8" s="5">
        <f>ROUND(L8*E8,2)</f>
        <v/>
      </c>
      <c r="N8" s="3" t="inlineStr">
        <is>
          <t>0.000</t>
        </is>
      </c>
      <c r="O8" s="6" t="inlineStr"/>
      <c r="P8" s="6" t="inlineStr">
        <is>
          <t>По договору площадь 26,52 м² (габарит 7800×3470 = 27,07 м²)</t>
        </is>
      </c>
    </row>
    <row r="9">
      <c r="A9" s="3" t="n">
        <v>6</v>
      </c>
      <c r="B9" s="3" t="inlineStr">
        <is>
          <t>Вн-6</t>
        </is>
      </c>
      <c r="C9" s="3" t="n">
        <v>4200</v>
      </c>
      <c r="D9" s="3" t="n">
        <v>4820</v>
      </c>
      <c r="E9" s="4">
        <f>ROUND(C9*D9/1000000,2)</f>
        <v/>
      </c>
      <c r="F9" s="3" t="n">
        <v>3</v>
      </c>
      <c r="G9" s="3" t="n">
        <v>3</v>
      </c>
      <c r="H9" s="3" t="n">
        <v>1</v>
      </c>
      <c r="I9" s="3" t="n">
        <v>3</v>
      </c>
      <c r="J9" s="3" t="n">
        <v>2</v>
      </c>
      <c r="K9" s="3" t="n"/>
      <c r="L9" s="3">
        <f>SUM(F9:K9)</f>
        <v/>
      </c>
      <c r="M9" s="5">
        <f>ROUND(L9*E9,2)</f>
        <v/>
      </c>
      <c r="N9" s="3" t="inlineStr">
        <is>
          <t>-6.000</t>
        </is>
      </c>
      <c r="O9" s="6" t="inlineStr">
        <is>
          <t>Д17*</t>
        </is>
      </c>
      <c r="P9" s="6" t="inlineStr"/>
    </row>
    <row r="10">
      <c r="A10" s="3" t="n">
        <v>7</v>
      </c>
      <c r="B10" s="3" t="inlineStr">
        <is>
          <t>Вн-7</t>
        </is>
      </c>
      <c r="C10" s="3" t="n">
        <v>3020</v>
      </c>
      <c r="D10" s="3" t="n">
        <v>4820</v>
      </c>
      <c r="E10" s="4">
        <f>ROUND(C10*D10/1000000,2)</f>
        <v/>
      </c>
      <c r="F10" s="3" t="n"/>
      <c r="G10" s="3" t="n"/>
      <c r="H10" s="3" t="n"/>
      <c r="I10" s="3" t="n"/>
      <c r="J10" s="3" t="n">
        <v>1</v>
      </c>
      <c r="K10" s="3" t="n"/>
      <c r="L10" s="3">
        <f>SUM(F10:K10)</f>
        <v/>
      </c>
      <c r="M10" s="5">
        <f>ROUND(L10*E10,2)</f>
        <v/>
      </c>
      <c r="N10" s="3" t="inlineStr">
        <is>
          <t>-6.000</t>
        </is>
      </c>
      <c r="O10" s="6" t="inlineStr"/>
      <c r="P10" s="6" t="inlineStr"/>
    </row>
    <row r="11">
      <c r="A11" s="3" t="n">
        <v>8</v>
      </c>
      <c r="B11" s="3" t="inlineStr">
        <is>
          <t>Вн-8</t>
        </is>
      </c>
      <c r="C11" s="3" t="n">
        <v>2600</v>
      </c>
      <c r="D11" s="3" t="n">
        <v>4820</v>
      </c>
      <c r="E11" s="4">
        <f>ROUND(C11*D11/1000000,2)</f>
        <v/>
      </c>
      <c r="F11" s="3" t="n">
        <v>1</v>
      </c>
      <c r="G11" s="3" t="n"/>
      <c r="H11" s="3" t="n"/>
      <c r="I11" s="3" t="n"/>
      <c r="J11" s="3" t="n"/>
      <c r="K11" s="3" t="n"/>
      <c r="L11" s="3">
        <f>SUM(F11:K11)</f>
        <v/>
      </c>
      <c r="M11" s="5">
        <f>ROUND(L11*E11,2)</f>
        <v/>
      </c>
      <c r="N11" s="3" t="inlineStr">
        <is>
          <t>-6.000</t>
        </is>
      </c>
      <c r="O11" s="6" t="inlineStr"/>
      <c r="P11" s="6" t="inlineStr"/>
    </row>
    <row r="12">
      <c r="A12" s="3" t="n">
        <v>9</v>
      </c>
      <c r="B12" s="3" t="inlineStr">
        <is>
          <t>Вн-9</t>
        </is>
      </c>
      <c r="C12" s="3" t="n">
        <v>3870</v>
      </c>
      <c r="D12" s="3" t="n">
        <v>4820</v>
      </c>
      <c r="E12" s="4">
        <f>ROUND(C12*D12/1000000,2)</f>
        <v/>
      </c>
      <c r="F12" s="3" t="n"/>
      <c r="G12" s="3" t="n"/>
      <c r="H12" s="3" t="n"/>
      <c r="I12" s="3" t="n"/>
      <c r="J12" s="3" t="n">
        <v>1</v>
      </c>
      <c r="K12" s="3" t="n"/>
      <c r="L12" s="3">
        <f>SUM(F12:K12)</f>
        <v/>
      </c>
      <c r="M12" s="5">
        <f>ROUND(L12*E12,2)</f>
        <v/>
      </c>
      <c r="N12" s="3" t="inlineStr">
        <is>
          <t>-6.000</t>
        </is>
      </c>
      <c r="O12" s="6" t="inlineStr">
        <is>
          <t>Д17*</t>
        </is>
      </c>
      <c r="P12" s="6" t="inlineStr"/>
    </row>
    <row r="13">
      <c r="A13" s="3" t="n">
        <v>10</v>
      </c>
      <c r="B13" s="3" t="inlineStr">
        <is>
          <t>Вн-10</t>
        </is>
      </c>
      <c r="C13" s="3" t="n">
        <v>4160</v>
      </c>
      <c r="D13" s="3" t="n">
        <v>4820</v>
      </c>
      <c r="E13" s="4">
        <f>ROUND(C13*D13/1000000,2)</f>
        <v/>
      </c>
      <c r="F13" s="3" t="n"/>
      <c r="G13" s="3" t="n"/>
      <c r="H13" s="3" t="n"/>
      <c r="I13" s="3" t="n">
        <v>1</v>
      </c>
      <c r="J13" s="3" t="n"/>
      <c r="K13" s="3" t="n"/>
      <c r="L13" s="3">
        <f>SUM(F13:K13)</f>
        <v/>
      </c>
      <c r="M13" s="5">
        <f>ROUND(L13*E13,2)</f>
        <v/>
      </c>
      <c r="N13" s="3" t="inlineStr">
        <is>
          <t>-6.000</t>
        </is>
      </c>
      <c r="O13" s="6" t="inlineStr">
        <is>
          <t>Д17*</t>
        </is>
      </c>
      <c r="P13" s="6" t="inlineStr"/>
    </row>
    <row r="14">
      <c r="A14" s="3" t="n">
        <v>11</v>
      </c>
      <c r="B14" s="3" t="inlineStr">
        <is>
          <t>Вн-11</t>
        </is>
      </c>
      <c r="C14" s="3" t="n">
        <v>2450</v>
      </c>
      <c r="D14" s="3" t="n">
        <v>4820</v>
      </c>
      <c r="E14" s="4">
        <f>ROUND(C14*D14/1000000,2)</f>
        <v/>
      </c>
      <c r="F14" s="3" t="n"/>
      <c r="G14" s="3" t="n"/>
      <c r="H14" s="3" t="n"/>
      <c r="I14" s="3" t="n">
        <v>1</v>
      </c>
      <c r="J14" s="3" t="n"/>
      <c r="K14" s="3" t="n"/>
      <c r="L14" s="3">
        <f>SUM(F14:K14)</f>
        <v/>
      </c>
      <c r="M14" s="5">
        <f>ROUND(L14*E14,2)</f>
        <v/>
      </c>
      <c r="N14" s="3" t="inlineStr">
        <is>
          <t>-6.000</t>
        </is>
      </c>
      <c r="O14" s="6" t="inlineStr"/>
      <c r="P14" s="6" t="inlineStr"/>
    </row>
    <row r="15">
      <c r="A15" s="3" t="n">
        <v>12</v>
      </c>
      <c r="B15" s="3" t="inlineStr">
        <is>
          <t>Вн-12</t>
        </is>
      </c>
      <c r="C15" s="3" t="n">
        <v>3370</v>
      </c>
      <c r="D15" s="3" t="n">
        <v>4820</v>
      </c>
      <c r="E15" s="4">
        <f>ROUND(C15*D15/1000000,2)</f>
        <v/>
      </c>
      <c r="F15" s="3" t="n"/>
      <c r="G15" s="3" t="n"/>
      <c r="H15" s="3" t="n"/>
      <c r="I15" s="3" t="n">
        <v>1</v>
      </c>
      <c r="J15" s="3" t="n"/>
      <c r="K15" s="3" t="n"/>
      <c r="L15" s="3">
        <f>SUM(F15:K15)</f>
        <v/>
      </c>
      <c r="M15" s="5">
        <f>ROUND(L15*E15,2)</f>
        <v/>
      </c>
      <c r="N15" s="3" t="inlineStr">
        <is>
          <t>-6.000</t>
        </is>
      </c>
      <c r="O15" s="6" t="inlineStr">
        <is>
          <t>Д17*</t>
        </is>
      </c>
      <c r="P15" s="6" t="inlineStr"/>
    </row>
    <row r="16">
      <c r="A16" s="3" t="n">
        <v>13</v>
      </c>
      <c r="B16" s="3" t="inlineStr">
        <is>
          <t>Вн-13</t>
        </is>
      </c>
      <c r="C16" s="3" t="n">
        <v>3200</v>
      </c>
      <c r="D16" s="3" t="n">
        <v>4820</v>
      </c>
      <c r="E16" s="4">
        <f>ROUND(C16*D16/1000000,2)</f>
        <v/>
      </c>
      <c r="F16" s="3" t="n"/>
      <c r="G16" s="3" t="n"/>
      <c r="H16" s="3" t="n">
        <v>1</v>
      </c>
      <c r="I16" s="3" t="n"/>
      <c r="J16" s="3" t="n"/>
      <c r="K16" s="3" t="n"/>
      <c r="L16" s="3">
        <f>SUM(F16:K16)</f>
        <v/>
      </c>
      <c r="M16" s="5">
        <f>ROUND(L16*E16,2)</f>
        <v/>
      </c>
      <c r="N16" s="3" t="inlineStr">
        <is>
          <t>-6.000</t>
        </is>
      </c>
      <c r="O16" s="6" t="inlineStr"/>
      <c r="P16" s="6" t="inlineStr"/>
    </row>
    <row r="17">
      <c r="A17" s="3" t="n">
        <v>14</v>
      </c>
      <c r="B17" s="3" t="inlineStr">
        <is>
          <t>Вн-14</t>
        </is>
      </c>
      <c r="C17" s="3" t="n">
        <v>2485</v>
      </c>
      <c r="D17" s="3" t="n">
        <v>4820</v>
      </c>
      <c r="E17" s="4">
        <f>ROUND(C17*D17/1000000,2)</f>
        <v/>
      </c>
      <c r="F17" s="3" t="n">
        <v>1</v>
      </c>
      <c r="G17" s="3" t="n"/>
      <c r="H17" s="3" t="n"/>
      <c r="I17" s="3" t="n"/>
      <c r="J17" s="3" t="n"/>
      <c r="K17" s="3" t="n"/>
      <c r="L17" s="3">
        <f>SUM(F17:K17)</f>
        <v/>
      </c>
      <c r="M17" s="5">
        <f>ROUND(L17*E17,2)</f>
        <v/>
      </c>
      <c r="N17" s="3" t="inlineStr">
        <is>
          <t>-6.000</t>
        </is>
      </c>
      <c r="O17" s="6" t="inlineStr">
        <is>
          <t>Д17*</t>
        </is>
      </c>
      <c r="P17" s="6" t="inlineStr"/>
    </row>
    <row r="18">
      <c r="A18" s="3" t="n">
        <v>15</v>
      </c>
      <c r="B18" s="3" t="inlineStr">
        <is>
          <t>Вн-15</t>
        </is>
      </c>
      <c r="C18" s="3" t="n">
        <v>1400</v>
      </c>
      <c r="D18" s="3" t="n">
        <v>4820</v>
      </c>
      <c r="E18" s="4">
        <f>ROUND(C18*D18/1000000,2)</f>
        <v/>
      </c>
      <c r="F18" s="3" t="n">
        <v>1</v>
      </c>
      <c r="G18" s="3" t="n">
        <v>1</v>
      </c>
      <c r="H18" s="3" t="n"/>
      <c r="I18" s="3" t="n"/>
      <c r="J18" s="3" t="n"/>
      <c r="K18" s="3" t="n"/>
      <c r="L18" s="3">
        <f>SUM(F18:K18)</f>
        <v/>
      </c>
      <c r="M18" s="5">
        <f>ROUND(L18*E18,2)</f>
        <v/>
      </c>
      <c r="N18" s="3" t="inlineStr">
        <is>
          <t>-6.000</t>
        </is>
      </c>
      <c r="O18" s="6" t="inlineStr">
        <is>
          <t>Д17*</t>
        </is>
      </c>
      <c r="P18" s="6" t="inlineStr"/>
    </row>
    <row r="19">
      <c r="A19" s="3" t="n">
        <v>16</v>
      </c>
      <c r="B19" s="3" t="inlineStr">
        <is>
          <t>Вн-16</t>
        </is>
      </c>
      <c r="C19" s="3" t="n">
        <v>1200</v>
      </c>
      <c r="D19" s="3" t="n">
        <v>4820</v>
      </c>
      <c r="E19" s="4">
        <f>ROUND(C19*D19/1000000,2)</f>
        <v/>
      </c>
      <c r="F19" s="3" t="n"/>
      <c r="G19" s="3" t="n"/>
      <c r="H19" s="3" t="n">
        <v>3</v>
      </c>
      <c r="I19" s="3" t="n"/>
      <c r="J19" s="3" t="n"/>
      <c r="K19" s="3" t="n"/>
      <c r="L19" s="3">
        <f>SUM(F19:K19)</f>
        <v/>
      </c>
      <c r="M19" s="5">
        <f>ROUND(L19*E19,2)</f>
        <v/>
      </c>
      <c r="N19" s="3" t="inlineStr">
        <is>
          <t>-6.000</t>
        </is>
      </c>
      <c r="O19" s="6" t="inlineStr">
        <is>
          <t>Д35</t>
        </is>
      </c>
      <c r="P19" s="6" t="inlineStr">
        <is>
          <t>1 шт. у лестницы на границе литеров В/Г отнесён к литеру В</t>
        </is>
      </c>
    </row>
    <row r="20">
      <c r="A20" s="3" t="n">
        <v>17</v>
      </c>
      <c r="B20" s="3" t="inlineStr">
        <is>
          <t>Вн-17</t>
        </is>
      </c>
      <c r="C20" s="3" t="n">
        <v>4200</v>
      </c>
      <c r="D20" s="3" t="n">
        <v>4820</v>
      </c>
      <c r="E20" s="4">
        <f>ROUND(C20*D20/1000000,2)</f>
        <v/>
      </c>
      <c r="F20" s="3" t="n"/>
      <c r="G20" s="3" t="n">
        <v>1</v>
      </c>
      <c r="H20" s="3" t="n">
        <v>1</v>
      </c>
      <c r="I20" s="3" t="n">
        <v>2</v>
      </c>
      <c r="J20" s="3" t="n">
        <v>1</v>
      </c>
      <c r="K20" s="3" t="n"/>
      <c r="L20" s="3">
        <f>SUM(F20:K20)</f>
        <v/>
      </c>
      <c r="M20" s="5">
        <f>ROUND(L20*E20,2)</f>
        <v/>
      </c>
      <c r="N20" s="3" t="inlineStr">
        <is>
          <t>-6.000</t>
        </is>
      </c>
      <c r="O20" s="6" t="inlineStr">
        <is>
          <t>Д17*</t>
        </is>
      </c>
      <c r="P20" s="6" t="inlineStr"/>
    </row>
    <row r="21">
      <c r="A21" s="3" t="n">
        <v>18</v>
      </c>
      <c r="B21" s="3" t="inlineStr">
        <is>
          <t>Вн-18</t>
        </is>
      </c>
      <c r="C21" s="3" t="n">
        <v>2600</v>
      </c>
      <c r="D21" s="3" t="n">
        <v>4820</v>
      </c>
      <c r="E21" s="4">
        <f>ROUND(C21*D21/1000000,2)</f>
        <v/>
      </c>
      <c r="F21" s="3" t="n"/>
      <c r="G21" s="3" t="n">
        <v>1</v>
      </c>
      <c r="H21" s="3" t="n"/>
      <c r="I21" s="3" t="n"/>
      <c r="J21" s="3" t="n"/>
      <c r="K21" s="3" t="n"/>
      <c r="L21" s="3">
        <f>SUM(F21:K21)</f>
        <v/>
      </c>
      <c r="M21" s="5">
        <f>ROUND(L21*E21,2)</f>
        <v/>
      </c>
      <c r="N21" s="3" t="inlineStr">
        <is>
          <t>-6.000</t>
        </is>
      </c>
      <c r="O21" s="6" t="inlineStr">
        <is>
          <t>Д17*</t>
        </is>
      </c>
      <c r="P21" s="6" t="inlineStr"/>
    </row>
    <row r="22">
      <c r="A22" s="3" t="n">
        <v>19</v>
      </c>
      <c r="B22" s="3" t="inlineStr">
        <is>
          <t>Вн-19</t>
        </is>
      </c>
      <c r="C22" s="3" t="n">
        <v>3000</v>
      </c>
      <c r="D22" s="3" t="n">
        <v>4820</v>
      </c>
      <c r="E22" s="4">
        <f>ROUND(C22*D22/1000000,2)</f>
        <v/>
      </c>
      <c r="F22" s="3" t="n"/>
      <c r="G22" s="3" t="n"/>
      <c r="H22" s="3" t="n">
        <v>2</v>
      </c>
      <c r="I22" s="3" t="n"/>
      <c r="J22" s="3" t="n"/>
      <c r="K22" s="3" t="n"/>
      <c r="L22" s="3">
        <f>SUM(F22:K22)</f>
        <v/>
      </c>
      <c r="M22" s="5">
        <f>ROUND(L22*E22,2)</f>
        <v/>
      </c>
      <c r="N22" s="3" t="inlineStr">
        <is>
          <t>-6.000</t>
        </is>
      </c>
      <c r="O22" s="6" t="inlineStr">
        <is>
          <t>Д17*</t>
        </is>
      </c>
      <c r="P22" s="6" t="inlineStr"/>
    </row>
    <row r="23">
      <c r="A23" s="3" t="n">
        <v>20</v>
      </c>
      <c r="B23" s="3" t="inlineStr">
        <is>
          <t>Вн-20</t>
        </is>
      </c>
      <c r="C23" s="3" t="n">
        <v>3900</v>
      </c>
      <c r="D23" s="3" t="n">
        <v>4820</v>
      </c>
      <c r="E23" s="4">
        <f>ROUND(C23*D23/1000000,2)</f>
        <v/>
      </c>
      <c r="F23" s="3" t="n"/>
      <c r="G23" s="3" t="n"/>
      <c r="H23" s="3" t="n"/>
      <c r="I23" s="3" t="n">
        <v>1</v>
      </c>
      <c r="J23" s="3" t="n"/>
      <c r="K23" s="3" t="n"/>
      <c r="L23" s="3">
        <f>SUM(F23:K23)</f>
        <v/>
      </c>
      <c r="M23" s="5">
        <f>ROUND(L23*E23,2)</f>
        <v/>
      </c>
      <c r="N23" s="3" t="inlineStr">
        <is>
          <t>-6.000</t>
        </is>
      </c>
      <c r="O23" s="6" t="inlineStr"/>
      <c r="P23" s="6" t="inlineStr"/>
    </row>
    <row r="24">
      <c r="A24" s="3" t="n">
        <v>21</v>
      </c>
      <c r="B24" s="3" t="inlineStr">
        <is>
          <t>Вн-21</t>
        </is>
      </c>
      <c r="C24" s="3" t="n">
        <v>2920</v>
      </c>
      <c r="D24" s="3" t="n">
        <v>4820</v>
      </c>
      <c r="E24" s="4">
        <f>ROUND(C24*D24/1000000,2)</f>
        <v/>
      </c>
      <c r="F24" s="3" t="n"/>
      <c r="G24" s="3" t="n"/>
      <c r="H24" s="3" t="n"/>
      <c r="I24" s="3" t="n">
        <v>1</v>
      </c>
      <c r="J24" s="3" t="n"/>
      <c r="K24" s="3" t="n"/>
      <c r="L24" s="3">
        <f>SUM(F24:K24)</f>
        <v/>
      </c>
      <c r="M24" s="5">
        <f>ROUND(L24*E24,2)</f>
        <v/>
      </c>
      <c r="N24" s="3" t="inlineStr">
        <is>
          <t>-6.000</t>
        </is>
      </c>
      <c r="O24" s="6" t="inlineStr"/>
      <c r="P24" s="6" t="inlineStr"/>
    </row>
    <row r="25">
      <c r="A25" s="3" t="n">
        <v>22</v>
      </c>
      <c r="B25" s="3" t="inlineStr">
        <is>
          <t>Вн-22</t>
        </is>
      </c>
      <c r="C25" s="3" t="n">
        <v>2150</v>
      </c>
      <c r="D25" s="3" t="n">
        <v>2720</v>
      </c>
      <c r="E25" s="4">
        <f>ROUND(C25*D25/1000000,2)</f>
        <v/>
      </c>
      <c r="F25" s="3" t="n">
        <v>5</v>
      </c>
      <c r="G25" s="3" t="n">
        <v>5</v>
      </c>
      <c r="H25" s="3" t="n">
        <v>4</v>
      </c>
      <c r="I25" s="3" t="n">
        <v>4</v>
      </c>
      <c r="J25" s="3" t="n"/>
      <c r="K25" s="3" t="n"/>
      <c r="L25" s="3">
        <f>SUM(F25:K25)</f>
        <v/>
      </c>
      <c r="M25" s="5">
        <f>ROUND(L25*E25,2)</f>
        <v/>
      </c>
      <c r="N25" s="3" t="inlineStr">
        <is>
          <t>0.000</t>
        </is>
      </c>
      <c r="O25" s="6" t="inlineStr">
        <is>
          <t>Д17*, Д22, Д35</t>
        </is>
      </c>
      <c r="P25" s="6" t="inlineStr">
        <is>
          <t>КП: 2070×2760</t>
        </is>
      </c>
    </row>
    <row r="26">
      <c r="A26" s="3" t="n">
        <v>23</v>
      </c>
      <c r="B26" s="3" t="inlineStr">
        <is>
          <t>Вн-23</t>
        </is>
      </c>
      <c r="C26" s="3" t="n">
        <v>3540</v>
      </c>
      <c r="D26" s="3" t="n">
        <v>3020</v>
      </c>
      <c r="E26" s="4">
        <f>ROUND(C26*D26/1000000,2)</f>
        <v/>
      </c>
      <c r="F26" s="3" t="n">
        <v>1</v>
      </c>
      <c r="G26" s="3" t="n">
        <v>1</v>
      </c>
      <c r="H26" s="3" t="n"/>
      <c r="I26" s="3" t="n"/>
      <c r="J26" s="3" t="n"/>
      <c r="K26" s="3" t="n"/>
      <c r="L26" s="3">
        <f>SUM(F26:K26)</f>
        <v/>
      </c>
      <c r="M26" s="5">
        <f>ROUND(L26*E26,2)</f>
        <v/>
      </c>
      <c r="N26" s="3" t="inlineStr">
        <is>
          <t>0.000</t>
        </is>
      </c>
      <c r="O26" s="6" t="inlineStr"/>
      <c r="P26" s="6" t="inlineStr"/>
    </row>
    <row r="27">
      <c r="A27" s="3" t="n">
        <v>24</v>
      </c>
      <c r="B27" s="3" t="inlineStr">
        <is>
          <t>Вн-24</t>
        </is>
      </c>
      <c r="C27" s="3" t="n">
        <v>2610</v>
      </c>
      <c r="D27" s="3" t="n">
        <v>3020</v>
      </c>
      <c r="E27" s="4">
        <f>ROUND(C27*D27/1000000,2)</f>
        <v/>
      </c>
      <c r="F27" s="3" t="n">
        <v>1</v>
      </c>
      <c r="G27" s="3" t="n">
        <v>1</v>
      </c>
      <c r="H27" s="3" t="n"/>
      <c r="I27" s="3" t="n"/>
      <c r="J27" s="3" t="n"/>
      <c r="K27" s="3" t="n"/>
      <c r="L27" s="3">
        <f>SUM(F27:K27)</f>
        <v/>
      </c>
      <c r="M27" s="5">
        <f>ROUND(L27*E27,2)</f>
        <v/>
      </c>
      <c r="N27" s="3" t="inlineStr">
        <is>
          <t>0.000</t>
        </is>
      </c>
      <c r="O27" s="6" t="inlineStr"/>
      <c r="P27" s="6" t="inlineStr"/>
    </row>
    <row r="28">
      <c r="A28" s="7" t="n"/>
      <c r="B28" s="8" t="inlineStr">
        <is>
          <t>ИТОГО</t>
        </is>
      </c>
      <c r="C28" s="7" t="n"/>
      <c r="D28" s="7" t="n"/>
      <c r="E28" s="9" t="n"/>
      <c r="F28" s="8">
        <f>SUM(F4:F27)</f>
        <v/>
      </c>
      <c r="G28" s="8">
        <f>SUM(G4:G27)</f>
        <v/>
      </c>
      <c r="H28" s="8">
        <f>SUM(H4:H27)</f>
        <v/>
      </c>
      <c r="I28" s="8">
        <f>SUM(I4:I27)</f>
        <v/>
      </c>
      <c r="J28" s="8">
        <f>SUM(J4:J27)</f>
        <v/>
      </c>
      <c r="K28" s="8">
        <f>SUM(K4:K27)</f>
        <v/>
      </c>
      <c r="L28" s="8">
        <f>SUM(L4:L27)</f>
        <v/>
      </c>
      <c r="M28" s="10">
        <f>SUM(M4:M27)</f>
        <v/>
      </c>
      <c r="N28" s="7" t="n"/>
      <c r="O28" s="11" t="n"/>
      <c r="P28" s="11" t="n"/>
    </row>
    <row r="30">
      <c r="A30" t="inlineStr">
        <is>
          <t>Размеры — из таблицы заказчика (длина × высота). Количество — подсчёт марок на чертежах; литер определён по привязке витража к блокам литеров в модели.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0" customWidth="1" min="3" max="3"/>
    <col width="10" customWidth="1" min="4" max="4"/>
    <col width="11" customWidth="1" min="5" max="5"/>
    <col width="10" customWidth="1" min="6" max="6"/>
    <col width="13" customWidth="1" min="7" max="7"/>
    <col width="11" customWidth="1" min="8" max="8"/>
  </cols>
  <sheetData>
    <row r="1">
      <c r="A1" s="1" t="inlineStr">
        <is>
          <t>Спецификация витражей по литерам</t>
        </is>
      </c>
    </row>
    <row r="3" ht="32" customHeight="1">
      <c r="A3" s="2" t="inlineStr">
        <is>
          <t>№</t>
        </is>
      </c>
      <c r="B3" s="2" t="inlineStr">
        <is>
          <t>Марка</t>
        </is>
      </c>
      <c r="C3" s="2" t="inlineStr">
        <is>
          <t>Длина, мм</t>
        </is>
      </c>
      <c r="D3" s="2" t="inlineStr">
        <is>
          <t>Высота, мм</t>
        </is>
      </c>
      <c r="E3" s="2" t="inlineStr">
        <is>
          <t>Площадь 1 шт, м²</t>
        </is>
      </c>
      <c r="F3" s="2" t="inlineStr">
        <is>
          <t>Кол-во, шт</t>
        </is>
      </c>
      <c r="G3" s="2" t="inlineStr">
        <is>
          <t>Площадь всего, м²</t>
        </is>
      </c>
      <c r="H3" s="2" t="inlineStr">
        <is>
          <t>Отметка</t>
        </is>
      </c>
    </row>
    <row r="4">
      <c r="A4" s="3" t="n"/>
      <c r="B4" s="12" t="inlineStr">
        <is>
          <t>Литер А</t>
        </is>
      </c>
      <c r="C4" s="13" t="n"/>
      <c r="D4" s="13" t="n"/>
      <c r="E4" s="14" t="n"/>
      <c r="F4" s="13" t="n"/>
      <c r="G4" s="15" t="n"/>
      <c r="H4" s="13" t="n"/>
    </row>
    <row r="5">
      <c r="A5" s="3" t="n">
        <v>1</v>
      </c>
      <c r="B5" s="3" t="inlineStr">
        <is>
          <t>Вн-6</t>
        </is>
      </c>
      <c r="C5" s="3" t="n">
        <v>4200</v>
      </c>
      <c r="D5" s="3" t="n">
        <v>4820</v>
      </c>
      <c r="E5" s="4">
        <f>ROUND(C5*D5/1000000,2)</f>
        <v/>
      </c>
      <c r="F5" s="3" t="n">
        <v>3</v>
      </c>
      <c r="G5" s="5">
        <f>ROUND(F5*E5,2)</f>
        <v/>
      </c>
      <c r="H5" s="3" t="inlineStr">
        <is>
          <t>-6.000</t>
        </is>
      </c>
    </row>
    <row r="6">
      <c r="A6" s="3" t="n">
        <v>2</v>
      </c>
      <c r="B6" s="3" t="inlineStr">
        <is>
          <t>Вн-8</t>
        </is>
      </c>
      <c r="C6" s="3" t="n">
        <v>2600</v>
      </c>
      <c r="D6" s="3" t="n">
        <v>4820</v>
      </c>
      <c r="E6" s="4">
        <f>ROUND(C6*D6/1000000,2)</f>
        <v/>
      </c>
      <c r="F6" s="3" t="n">
        <v>1</v>
      </c>
      <c r="G6" s="5">
        <f>ROUND(F6*E6,2)</f>
        <v/>
      </c>
      <c r="H6" s="3" t="inlineStr">
        <is>
          <t>-6.000</t>
        </is>
      </c>
    </row>
    <row r="7">
      <c r="A7" s="3" t="n">
        <v>3</v>
      </c>
      <c r="B7" s="3" t="inlineStr">
        <is>
          <t>Вн-14</t>
        </is>
      </c>
      <c r="C7" s="3" t="n">
        <v>2485</v>
      </c>
      <c r="D7" s="3" t="n">
        <v>4820</v>
      </c>
      <c r="E7" s="4">
        <f>ROUND(C7*D7/1000000,2)</f>
        <v/>
      </c>
      <c r="F7" s="3" t="n">
        <v>1</v>
      </c>
      <c r="G7" s="5">
        <f>ROUND(F7*E7,2)</f>
        <v/>
      </c>
      <c r="H7" s="3" t="inlineStr">
        <is>
          <t>-6.000</t>
        </is>
      </c>
    </row>
    <row r="8">
      <c r="A8" s="3" t="n">
        <v>4</v>
      </c>
      <c r="B8" s="3" t="inlineStr">
        <is>
          <t>Вн-15</t>
        </is>
      </c>
      <c r="C8" s="3" t="n">
        <v>1400</v>
      </c>
      <c r="D8" s="3" t="n">
        <v>4820</v>
      </c>
      <c r="E8" s="4">
        <f>ROUND(C8*D8/1000000,2)</f>
        <v/>
      </c>
      <c r="F8" s="3" t="n">
        <v>1</v>
      </c>
      <c r="G8" s="5">
        <f>ROUND(F8*E8,2)</f>
        <v/>
      </c>
      <c r="H8" s="3" t="inlineStr">
        <is>
          <t>-6.000</t>
        </is>
      </c>
    </row>
    <row r="9">
      <c r="A9" s="3" t="n">
        <v>5</v>
      </c>
      <c r="B9" s="3" t="inlineStr">
        <is>
          <t>Вн-22</t>
        </is>
      </c>
      <c r="C9" s="3" t="n">
        <v>2150</v>
      </c>
      <c r="D9" s="3" t="n">
        <v>2720</v>
      </c>
      <c r="E9" s="4">
        <f>ROUND(C9*D9/1000000,2)</f>
        <v/>
      </c>
      <c r="F9" s="3" t="n">
        <v>5</v>
      </c>
      <c r="G9" s="5">
        <f>ROUND(F9*E9,2)</f>
        <v/>
      </c>
      <c r="H9" s="3" t="inlineStr">
        <is>
          <t>0.000</t>
        </is>
      </c>
    </row>
    <row r="10">
      <c r="A10" s="3" t="n">
        <v>6</v>
      </c>
      <c r="B10" s="3" t="inlineStr">
        <is>
          <t>Вн-23</t>
        </is>
      </c>
      <c r="C10" s="3" t="n">
        <v>3540</v>
      </c>
      <c r="D10" s="3" t="n">
        <v>3020</v>
      </c>
      <c r="E10" s="4">
        <f>ROUND(C10*D10/1000000,2)</f>
        <v/>
      </c>
      <c r="F10" s="3" t="n">
        <v>1</v>
      </c>
      <c r="G10" s="5">
        <f>ROUND(F10*E10,2)</f>
        <v/>
      </c>
      <c r="H10" s="3" t="inlineStr">
        <is>
          <t>0.000</t>
        </is>
      </c>
    </row>
    <row r="11">
      <c r="A11" s="3" t="n">
        <v>7</v>
      </c>
      <c r="B11" s="3" t="inlineStr">
        <is>
          <t>Вн-24</t>
        </is>
      </c>
      <c r="C11" s="3" t="n">
        <v>2610</v>
      </c>
      <c r="D11" s="3" t="n">
        <v>3020</v>
      </c>
      <c r="E11" s="4">
        <f>ROUND(C11*D11/1000000,2)</f>
        <v/>
      </c>
      <c r="F11" s="3" t="n">
        <v>1</v>
      </c>
      <c r="G11" s="5">
        <f>ROUND(F11*E11,2)</f>
        <v/>
      </c>
      <c r="H11" s="3" t="inlineStr">
        <is>
          <t>0.000</t>
        </is>
      </c>
    </row>
    <row r="12">
      <c r="A12" s="7" t="n"/>
      <c r="B12" s="8" t="inlineStr">
        <is>
          <t>Итого литер А</t>
        </is>
      </c>
      <c r="C12" s="7" t="n"/>
      <c r="D12" s="7" t="n"/>
      <c r="E12" s="9" t="n"/>
      <c r="F12" s="8">
        <f>SUM(F5:F11)</f>
        <v/>
      </c>
      <c r="G12" s="10">
        <f>SUM(G5:G11)</f>
        <v/>
      </c>
      <c r="H12" s="7" t="n"/>
    </row>
    <row r="13">
      <c r="A13" s="3" t="n"/>
      <c r="B13" s="12" t="inlineStr">
        <is>
          <t>Литер Б</t>
        </is>
      </c>
      <c r="C13" s="13" t="n"/>
      <c r="D13" s="13" t="n"/>
      <c r="E13" s="14" t="n"/>
      <c r="F13" s="13" t="n"/>
      <c r="G13" s="15" t="n"/>
      <c r="H13" s="13" t="n"/>
    </row>
    <row r="14">
      <c r="A14" s="3" t="n">
        <v>8</v>
      </c>
      <c r="B14" s="3" t="inlineStr">
        <is>
          <t>Вн-6</t>
        </is>
      </c>
      <c r="C14" s="3" t="n">
        <v>4200</v>
      </c>
      <c r="D14" s="3" t="n">
        <v>4820</v>
      </c>
      <c r="E14" s="4">
        <f>ROUND(C14*D14/1000000,2)</f>
        <v/>
      </c>
      <c r="F14" s="3" t="n">
        <v>3</v>
      </c>
      <c r="G14" s="5">
        <f>ROUND(F14*E14,2)</f>
        <v/>
      </c>
      <c r="H14" s="3" t="inlineStr">
        <is>
          <t>-6.000</t>
        </is>
      </c>
    </row>
    <row r="15">
      <c r="A15" s="3" t="n">
        <v>9</v>
      </c>
      <c r="B15" s="3" t="inlineStr">
        <is>
          <t>Вн-15</t>
        </is>
      </c>
      <c r="C15" s="3" t="n">
        <v>1400</v>
      </c>
      <c r="D15" s="3" t="n">
        <v>4820</v>
      </c>
      <c r="E15" s="4">
        <f>ROUND(C15*D15/1000000,2)</f>
        <v/>
      </c>
      <c r="F15" s="3" t="n">
        <v>1</v>
      </c>
      <c r="G15" s="5">
        <f>ROUND(F15*E15,2)</f>
        <v/>
      </c>
      <c r="H15" s="3" t="inlineStr">
        <is>
          <t>-6.000</t>
        </is>
      </c>
    </row>
    <row r="16">
      <c r="A16" s="3" t="n">
        <v>10</v>
      </c>
      <c r="B16" s="3" t="inlineStr">
        <is>
          <t>Вн-17</t>
        </is>
      </c>
      <c r="C16" s="3" t="n">
        <v>4200</v>
      </c>
      <c r="D16" s="3" t="n">
        <v>4820</v>
      </c>
      <c r="E16" s="4">
        <f>ROUND(C16*D16/1000000,2)</f>
        <v/>
      </c>
      <c r="F16" s="3" t="n">
        <v>1</v>
      </c>
      <c r="G16" s="5">
        <f>ROUND(F16*E16,2)</f>
        <v/>
      </c>
      <c r="H16" s="3" t="inlineStr">
        <is>
          <t>-6.000</t>
        </is>
      </c>
    </row>
    <row r="17">
      <c r="A17" s="3" t="n">
        <v>11</v>
      </c>
      <c r="B17" s="3" t="inlineStr">
        <is>
          <t>Вн-18</t>
        </is>
      </c>
      <c r="C17" s="3" t="n">
        <v>2600</v>
      </c>
      <c r="D17" s="3" t="n">
        <v>4820</v>
      </c>
      <c r="E17" s="4">
        <f>ROUND(C17*D17/1000000,2)</f>
        <v/>
      </c>
      <c r="F17" s="3" t="n">
        <v>1</v>
      </c>
      <c r="G17" s="5">
        <f>ROUND(F17*E17,2)</f>
        <v/>
      </c>
      <c r="H17" s="3" t="inlineStr">
        <is>
          <t>-6.000</t>
        </is>
      </c>
    </row>
    <row r="18">
      <c r="A18" s="3" t="n">
        <v>12</v>
      </c>
      <c r="B18" s="3" t="inlineStr">
        <is>
          <t>Вн-22</t>
        </is>
      </c>
      <c r="C18" s="3" t="n">
        <v>2150</v>
      </c>
      <c r="D18" s="3" t="n">
        <v>2720</v>
      </c>
      <c r="E18" s="4">
        <f>ROUND(C18*D18/1000000,2)</f>
        <v/>
      </c>
      <c r="F18" s="3" t="n">
        <v>5</v>
      </c>
      <c r="G18" s="5">
        <f>ROUND(F18*E18,2)</f>
        <v/>
      </c>
      <c r="H18" s="3" t="inlineStr">
        <is>
          <t>0.000</t>
        </is>
      </c>
    </row>
    <row r="19">
      <c r="A19" s="3" t="n">
        <v>13</v>
      </c>
      <c r="B19" s="3" t="inlineStr">
        <is>
          <t>Вн-23</t>
        </is>
      </c>
      <c r="C19" s="3" t="n">
        <v>3540</v>
      </c>
      <c r="D19" s="3" t="n">
        <v>3020</v>
      </c>
      <c r="E19" s="4">
        <f>ROUND(C19*D19/1000000,2)</f>
        <v/>
      </c>
      <c r="F19" s="3" t="n">
        <v>1</v>
      </c>
      <c r="G19" s="5">
        <f>ROUND(F19*E19,2)</f>
        <v/>
      </c>
      <c r="H19" s="3" t="inlineStr">
        <is>
          <t>0.000</t>
        </is>
      </c>
    </row>
    <row r="20">
      <c r="A20" s="3" t="n">
        <v>14</v>
      </c>
      <c r="B20" s="3" t="inlineStr">
        <is>
          <t>Вн-24</t>
        </is>
      </c>
      <c r="C20" s="3" t="n">
        <v>2610</v>
      </c>
      <c r="D20" s="3" t="n">
        <v>3020</v>
      </c>
      <c r="E20" s="4">
        <f>ROUND(C20*D20/1000000,2)</f>
        <v/>
      </c>
      <c r="F20" s="3" t="n">
        <v>1</v>
      </c>
      <c r="G20" s="5">
        <f>ROUND(F20*E20,2)</f>
        <v/>
      </c>
      <c r="H20" s="3" t="inlineStr">
        <is>
          <t>0.000</t>
        </is>
      </c>
    </row>
    <row r="21">
      <c r="A21" s="7" t="n"/>
      <c r="B21" s="8" t="inlineStr">
        <is>
          <t>Итого литер Б</t>
        </is>
      </c>
      <c r="C21" s="7" t="n"/>
      <c r="D21" s="7" t="n"/>
      <c r="E21" s="9" t="n"/>
      <c r="F21" s="8">
        <f>SUM(F14:F20)</f>
        <v/>
      </c>
      <c r="G21" s="10">
        <f>SUM(G14:G20)</f>
        <v/>
      </c>
      <c r="H21" s="7" t="n"/>
    </row>
    <row r="22">
      <c r="A22" s="3" t="n"/>
      <c r="B22" s="12" t="inlineStr">
        <is>
          <t>Литер В</t>
        </is>
      </c>
      <c r="C22" s="13" t="n"/>
      <c r="D22" s="13" t="n"/>
      <c r="E22" s="14" t="n"/>
      <c r="F22" s="13" t="n"/>
      <c r="G22" s="15" t="n"/>
      <c r="H22" s="13" t="n"/>
    </row>
    <row r="23">
      <c r="A23" s="3" t="n">
        <v>15</v>
      </c>
      <c r="B23" s="3" t="inlineStr">
        <is>
          <t>Вн-6</t>
        </is>
      </c>
      <c r="C23" s="3" t="n">
        <v>4200</v>
      </c>
      <c r="D23" s="3" t="n">
        <v>4820</v>
      </c>
      <c r="E23" s="4">
        <f>ROUND(C23*D23/1000000,2)</f>
        <v/>
      </c>
      <c r="F23" s="3" t="n">
        <v>1</v>
      </c>
      <c r="G23" s="5">
        <f>ROUND(F23*E23,2)</f>
        <v/>
      </c>
      <c r="H23" s="3" t="inlineStr">
        <is>
          <t>-6.000</t>
        </is>
      </c>
    </row>
    <row r="24">
      <c r="A24" s="3" t="n">
        <v>16</v>
      </c>
      <c r="B24" s="3" t="inlineStr">
        <is>
          <t>Вн-13</t>
        </is>
      </c>
      <c r="C24" s="3" t="n">
        <v>3200</v>
      </c>
      <c r="D24" s="3" t="n">
        <v>4820</v>
      </c>
      <c r="E24" s="4">
        <f>ROUND(C24*D24/1000000,2)</f>
        <v/>
      </c>
      <c r="F24" s="3" t="n">
        <v>1</v>
      </c>
      <c r="G24" s="5">
        <f>ROUND(F24*E24,2)</f>
        <v/>
      </c>
      <c r="H24" s="3" t="inlineStr">
        <is>
          <t>-6.000</t>
        </is>
      </c>
    </row>
    <row r="25">
      <c r="A25" s="3" t="n">
        <v>17</v>
      </c>
      <c r="B25" s="3" t="inlineStr">
        <is>
          <t>Вн-16</t>
        </is>
      </c>
      <c r="C25" s="3" t="n">
        <v>1200</v>
      </c>
      <c r="D25" s="3" t="n">
        <v>4820</v>
      </c>
      <c r="E25" s="4">
        <f>ROUND(C25*D25/1000000,2)</f>
        <v/>
      </c>
      <c r="F25" s="3" t="n">
        <v>3</v>
      </c>
      <c r="G25" s="5">
        <f>ROUND(F25*E25,2)</f>
        <v/>
      </c>
      <c r="H25" s="3" t="inlineStr">
        <is>
          <t>-6.000</t>
        </is>
      </c>
    </row>
    <row r="26">
      <c r="A26" s="3" t="n">
        <v>18</v>
      </c>
      <c r="B26" s="3" t="inlineStr">
        <is>
          <t>Вн-17</t>
        </is>
      </c>
      <c r="C26" s="3" t="n">
        <v>4200</v>
      </c>
      <c r="D26" s="3" t="n">
        <v>4820</v>
      </c>
      <c r="E26" s="4">
        <f>ROUND(C26*D26/1000000,2)</f>
        <v/>
      </c>
      <c r="F26" s="3" t="n">
        <v>1</v>
      </c>
      <c r="G26" s="5">
        <f>ROUND(F26*E26,2)</f>
        <v/>
      </c>
      <c r="H26" s="3" t="inlineStr">
        <is>
          <t>-6.000</t>
        </is>
      </c>
    </row>
    <row r="27">
      <c r="A27" s="3" t="n">
        <v>19</v>
      </c>
      <c r="B27" s="3" t="inlineStr">
        <is>
          <t>Вн-19</t>
        </is>
      </c>
      <c r="C27" s="3" t="n">
        <v>3000</v>
      </c>
      <c r="D27" s="3" t="n">
        <v>4820</v>
      </c>
      <c r="E27" s="4">
        <f>ROUND(C27*D27/1000000,2)</f>
        <v/>
      </c>
      <c r="F27" s="3" t="n">
        <v>2</v>
      </c>
      <c r="G27" s="5">
        <f>ROUND(F27*E27,2)</f>
        <v/>
      </c>
      <c r="H27" s="3" t="inlineStr">
        <is>
          <t>-6.000</t>
        </is>
      </c>
    </row>
    <row r="28">
      <c r="A28" s="3" t="n">
        <v>20</v>
      </c>
      <c r="B28" s="3" t="inlineStr">
        <is>
          <t>Вн-22</t>
        </is>
      </c>
      <c r="C28" s="3" t="n">
        <v>2150</v>
      </c>
      <c r="D28" s="3" t="n">
        <v>2720</v>
      </c>
      <c r="E28" s="4">
        <f>ROUND(C28*D28/1000000,2)</f>
        <v/>
      </c>
      <c r="F28" s="3" t="n">
        <v>4</v>
      </c>
      <c r="G28" s="5">
        <f>ROUND(F28*E28,2)</f>
        <v/>
      </c>
      <c r="H28" s="3" t="inlineStr">
        <is>
          <t>0.000</t>
        </is>
      </c>
    </row>
    <row r="29">
      <c r="A29" s="7" t="n"/>
      <c r="B29" s="8" t="inlineStr">
        <is>
          <t>Итого литер В</t>
        </is>
      </c>
      <c r="C29" s="7" t="n"/>
      <c r="D29" s="7" t="n"/>
      <c r="E29" s="9" t="n"/>
      <c r="F29" s="8">
        <f>SUM(F23:F28)</f>
        <v/>
      </c>
      <c r="G29" s="10">
        <f>SUM(G23:G28)</f>
        <v/>
      </c>
      <c r="H29" s="7" t="n"/>
    </row>
    <row r="30">
      <c r="A30" s="3" t="n"/>
      <c r="B30" s="12" t="inlineStr">
        <is>
          <t>Литер Г</t>
        </is>
      </c>
      <c r="C30" s="13" t="n"/>
      <c r="D30" s="13" t="n"/>
      <c r="E30" s="14" t="n"/>
      <c r="F30" s="13" t="n"/>
      <c r="G30" s="15" t="n"/>
      <c r="H30" s="13" t="n"/>
    </row>
    <row r="31">
      <c r="A31" s="3" t="n">
        <v>21</v>
      </c>
      <c r="B31" s="3" t="inlineStr">
        <is>
          <t>Вн-6</t>
        </is>
      </c>
      <c r="C31" s="3" t="n">
        <v>4200</v>
      </c>
      <c r="D31" s="3" t="n">
        <v>4820</v>
      </c>
      <c r="E31" s="4">
        <f>ROUND(C31*D31/1000000,2)</f>
        <v/>
      </c>
      <c r="F31" s="3" t="n">
        <v>3</v>
      </c>
      <c r="G31" s="5">
        <f>ROUND(F31*E31,2)</f>
        <v/>
      </c>
      <c r="H31" s="3" t="inlineStr">
        <is>
          <t>-6.000</t>
        </is>
      </c>
    </row>
    <row r="32">
      <c r="A32" s="3" t="n">
        <v>22</v>
      </c>
      <c r="B32" s="3" t="inlineStr">
        <is>
          <t>Вн-10</t>
        </is>
      </c>
      <c r="C32" s="3" t="n">
        <v>4160</v>
      </c>
      <c r="D32" s="3" t="n">
        <v>4820</v>
      </c>
      <c r="E32" s="4">
        <f>ROUND(C32*D32/1000000,2)</f>
        <v/>
      </c>
      <c r="F32" s="3" t="n">
        <v>1</v>
      </c>
      <c r="G32" s="5">
        <f>ROUND(F32*E32,2)</f>
        <v/>
      </c>
      <c r="H32" s="3" t="inlineStr">
        <is>
          <t>-6.000</t>
        </is>
      </c>
    </row>
    <row r="33">
      <c r="A33" s="3" t="n">
        <v>23</v>
      </c>
      <c r="B33" s="3" t="inlineStr">
        <is>
          <t>Вн-11</t>
        </is>
      </c>
      <c r="C33" s="3" t="n">
        <v>2450</v>
      </c>
      <c r="D33" s="3" t="n">
        <v>4820</v>
      </c>
      <c r="E33" s="4">
        <f>ROUND(C33*D33/1000000,2)</f>
        <v/>
      </c>
      <c r="F33" s="3" t="n">
        <v>1</v>
      </c>
      <c r="G33" s="5">
        <f>ROUND(F33*E33,2)</f>
        <v/>
      </c>
      <c r="H33" s="3" t="inlineStr">
        <is>
          <t>-6.000</t>
        </is>
      </c>
    </row>
    <row r="34">
      <c r="A34" s="3" t="n">
        <v>24</v>
      </c>
      <c r="B34" s="3" t="inlineStr">
        <is>
          <t>Вн-12</t>
        </is>
      </c>
      <c r="C34" s="3" t="n">
        <v>3370</v>
      </c>
      <c r="D34" s="3" t="n">
        <v>4820</v>
      </c>
      <c r="E34" s="4">
        <f>ROUND(C34*D34/1000000,2)</f>
        <v/>
      </c>
      <c r="F34" s="3" t="n">
        <v>1</v>
      </c>
      <c r="G34" s="5">
        <f>ROUND(F34*E34,2)</f>
        <v/>
      </c>
      <c r="H34" s="3" t="inlineStr">
        <is>
          <t>-6.000</t>
        </is>
      </c>
    </row>
    <row r="35">
      <c r="A35" s="3" t="n">
        <v>25</v>
      </c>
      <c r="B35" s="3" t="inlineStr">
        <is>
          <t>Вн-17</t>
        </is>
      </c>
      <c r="C35" s="3" t="n">
        <v>4200</v>
      </c>
      <c r="D35" s="3" t="n">
        <v>4820</v>
      </c>
      <c r="E35" s="4">
        <f>ROUND(C35*D35/1000000,2)</f>
        <v/>
      </c>
      <c r="F35" s="3" t="n">
        <v>2</v>
      </c>
      <c r="G35" s="5">
        <f>ROUND(F35*E35,2)</f>
        <v/>
      </c>
      <c r="H35" s="3" t="inlineStr">
        <is>
          <t>-6.000</t>
        </is>
      </c>
    </row>
    <row r="36">
      <c r="A36" s="3" t="n">
        <v>26</v>
      </c>
      <c r="B36" s="3" t="inlineStr">
        <is>
          <t>Вн-20</t>
        </is>
      </c>
      <c r="C36" s="3" t="n">
        <v>3900</v>
      </c>
      <c r="D36" s="3" t="n">
        <v>4820</v>
      </c>
      <c r="E36" s="4">
        <f>ROUND(C36*D36/1000000,2)</f>
        <v/>
      </c>
      <c r="F36" s="3" t="n">
        <v>1</v>
      </c>
      <c r="G36" s="5">
        <f>ROUND(F36*E36,2)</f>
        <v/>
      </c>
      <c r="H36" s="3" t="inlineStr">
        <is>
          <t>-6.000</t>
        </is>
      </c>
    </row>
    <row r="37">
      <c r="A37" s="3" t="n">
        <v>27</v>
      </c>
      <c r="B37" s="3" t="inlineStr">
        <is>
          <t>Вн-21</t>
        </is>
      </c>
      <c r="C37" s="3" t="n">
        <v>2920</v>
      </c>
      <c r="D37" s="3" t="n">
        <v>4820</v>
      </c>
      <c r="E37" s="4">
        <f>ROUND(C37*D37/1000000,2)</f>
        <v/>
      </c>
      <c r="F37" s="3" t="n">
        <v>1</v>
      </c>
      <c r="G37" s="5">
        <f>ROUND(F37*E37,2)</f>
        <v/>
      </c>
      <c r="H37" s="3" t="inlineStr">
        <is>
          <t>-6.000</t>
        </is>
      </c>
    </row>
    <row r="38">
      <c r="A38" s="3" t="n">
        <v>28</v>
      </c>
      <c r="B38" s="3" t="inlineStr">
        <is>
          <t>Вн-22</t>
        </is>
      </c>
      <c r="C38" s="3" t="n">
        <v>2150</v>
      </c>
      <c r="D38" s="3" t="n">
        <v>2720</v>
      </c>
      <c r="E38" s="4">
        <f>ROUND(C38*D38/1000000,2)</f>
        <v/>
      </c>
      <c r="F38" s="3" t="n">
        <v>4</v>
      </c>
      <c r="G38" s="5">
        <f>ROUND(F38*E38,2)</f>
        <v/>
      </c>
      <c r="H38" s="3" t="inlineStr">
        <is>
          <t>0.000</t>
        </is>
      </c>
    </row>
    <row r="39">
      <c r="A39" s="7" t="n"/>
      <c r="B39" s="8" t="inlineStr">
        <is>
          <t>Итого литер Г</t>
        </is>
      </c>
      <c r="C39" s="7" t="n"/>
      <c r="D39" s="7" t="n"/>
      <c r="E39" s="9" t="n"/>
      <c r="F39" s="8">
        <f>SUM(F31:F38)</f>
        <v/>
      </c>
      <c r="G39" s="10">
        <f>SUM(G31:G38)</f>
        <v/>
      </c>
      <c r="H39" s="7" t="n"/>
    </row>
    <row r="40">
      <c r="A40" s="3" t="n"/>
      <c r="B40" s="12" t="inlineStr">
        <is>
          <t>Литер Д</t>
        </is>
      </c>
      <c r="C40" s="13" t="n"/>
      <c r="D40" s="13" t="n"/>
      <c r="E40" s="14" t="n"/>
      <c r="F40" s="13" t="n"/>
      <c r="G40" s="15" t="n"/>
      <c r="H40" s="13" t="n"/>
    </row>
    <row r="41">
      <c r="A41" s="3" t="n">
        <v>29</v>
      </c>
      <c r="B41" s="3" t="inlineStr">
        <is>
          <t>Вн-6</t>
        </is>
      </c>
      <c r="C41" s="3" t="n">
        <v>4200</v>
      </c>
      <c r="D41" s="3" t="n">
        <v>4820</v>
      </c>
      <c r="E41" s="4">
        <f>ROUND(C41*D41/1000000,2)</f>
        <v/>
      </c>
      <c r="F41" s="3" t="n">
        <v>2</v>
      </c>
      <c r="G41" s="5">
        <f>ROUND(F41*E41,2)</f>
        <v/>
      </c>
      <c r="H41" s="3" t="inlineStr">
        <is>
          <t>-6.000</t>
        </is>
      </c>
    </row>
    <row r="42">
      <c r="A42" s="3" t="n">
        <v>30</v>
      </c>
      <c r="B42" s="3" t="inlineStr">
        <is>
          <t>Вн-7</t>
        </is>
      </c>
      <c r="C42" s="3" t="n">
        <v>3020</v>
      </c>
      <c r="D42" s="3" t="n">
        <v>4820</v>
      </c>
      <c r="E42" s="4">
        <f>ROUND(C42*D42/1000000,2)</f>
        <v/>
      </c>
      <c r="F42" s="3" t="n">
        <v>1</v>
      </c>
      <c r="G42" s="5">
        <f>ROUND(F42*E42,2)</f>
        <v/>
      </c>
      <c r="H42" s="3" t="inlineStr">
        <is>
          <t>-6.000</t>
        </is>
      </c>
    </row>
    <row r="43">
      <c r="A43" s="3" t="n">
        <v>31</v>
      </c>
      <c r="B43" s="3" t="inlineStr">
        <is>
          <t>Вн-9</t>
        </is>
      </c>
      <c r="C43" s="3" t="n">
        <v>3870</v>
      </c>
      <c r="D43" s="3" t="n">
        <v>4820</v>
      </c>
      <c r="E43" s="4">
        <f>ROUND(C43*D43/1000000,2)</f>
        <v/>
      </c>
      <c r="F43" s="3" t="n">
        <v>1</v>
      </c>
      <c r="G43" s="5">
        <f>ROUND(F43*E43,2)</f>
        <v/>
      </c>
      <c r="H43" s="3" t="inlineStr">
        <is>
          <t>-6.000</t>
        </is>
      </c>
    </row>
    <row r="44">
      <c r="A44" s="3" t="n">
        <v>32</v>
      </c>
      <c r="B44" s="3" t="inlineStr">
        <is>
          <t>Вн-17</t>
        </is>
      </c>
      <c r="C44" s="3" t="n">
        <v>4200</v>
      </c>
      <c r="D44" s="3" t="n">
        <v>4820</v>
      </c>
      <c r="E44" s="4">
        <f>ROUND(C44*D44/1000000,2)</f>
        <v/>
      </c>
      <c r="F44" s="3" t="n">
        <v>1</v>
      </c>
      <c r="G44" s="5">
        <f>ROUND(F44*E44,2)</f>
        <v/>
      </c>
      <c r="H44" s="3" t="inlineStr">
        <is>
          <t>-6.000</t>
        </is>
      </c>
    </row>
    <row r="45">
      <c r="A45" s="7" t="n"/>
      <c r="B45" s="8" t="inlineStr">
        <is>
          <t>Итого литер Д</t>
        </is>
      </c>
      <c r="C45" s="7" t="n"/>
      <c r="D45" s="7" t="n"/>
      <c r="E45" s="9" t="n"/>
      <c r="F45" s="8">
        <f>SUM(F41:F44)</f>
        <v/>
      </c>
      <c r="G45" s="10">
        <f>SUM(G41:G44)</f>
        <v/>
      </c>
      <c r="H45" s="7" t="n"/>
    </row>
    <row r="46">
      <c r="A46" s="3" t="n"/>
      <c r="B46" s="12" t="inlineStr">
        <is>
          <t>Литер Ж (паркинг)</t>
        </is>
      </c>
      <c r="C46" s="13" t="n"/>
      <c r="D46" s="13" t="n"/>
      <c r="E46" s="14" t="n"/>
      <c r="F46" s="13" t="n"/>
      <c r="G46" s="15" t="n"/>
      <c r="H46" s="13" t="n"/>
    </row>
    <row r="47">
      <c r="A47" s="3" t="n">
        <v>33</v>
      </c>
      <c r="B47" s="3" t="inlineStr">
        <is>
          <t>Вн-1</t>
        </is>
      </c>
      <c r="C47" s="3" t="n">
        <v>4750</v>
      </c>
      <c r="D47" s="3" t="n">
        <v>3870</v>
      </c>
      <c r="E47" s="4">
        <f>ROUND(C47*D47/1000000,2)</f>
        <v/>
      </c>
      <c r="F47" s="3" t="n">
        <v>1</v>
      </c>
      <c r="G47" s="5">
        <f>ROUND(F47*E47,2)</f>
        <v/>
      </c>
      <c r="H47" s="3" t="inlineStr">
        <is>
          <t>0.000</t>
        </is>
      </c>
    </row>
    <row r="48">
      <c r="A48" s="3" t="n">
        <v>34</v>
      </c>
      <c r="B48" s="3" t="inlineStr">
        <is>
          <t>Вн-2</t>
        </is>
      </c>
      <c r="C48" s="3" t="n">
        <v>4750</v>
      </c>
      <c r="D48" s="3" t="n">
        <v>3870</v>
      </c>
      <c r="E48" s="4">
        <f>ROUND(C48*D48/1000000,2)</f>
        <v/>
      </c>
      <c r="F48" s="3" t="n">
        <v>1</v>
      </c>
      <c r="G48" s="5">
        <f>ROUND(F48*E48,2)</f>
        <v/>
      </c>
      <c r="H48" s="3" t="inlineStr">
        <is>
          <t>0.000</t>
        </is>
      </c>
    </row>
    <row r="49">
      <c r="A49" s="3" t="n">
        <v>35</v>
      </c>
      <c r="B49" s="3" t="inlineStr">
        <is>
          <t>Вн-3</t>
        </is>
      </c>
      <c r="C49" s="3" t="n">
        <v>6100</v>
      </c>
      <c r="D49" s="3" t="n">
        <v>3870</v>
      </c>
      <c r="E49" s="4">
        <f>ROUND(C49*D49/1000000,2)</f>
        <v/>
      </c>
      <c r="F49" s="3" t="n">
        <v>1</v>
      </c>
      <c r="G49" s="5">
        <f>ROUND(F49*E49,2)</f>
        <v/>
      </c>
      <c r="H49" s="3" t="inlineStr">
        <is>
          <t>0.000</t>
        </is>
      </c>
    </row>
    <row r="50">
      <c r="A50" s="3" t="n">
        <v>36</v>
      </c>
      <c r="B50" s="3" t="inlineStr">
        <is>
          <t>Вн-4</t>
        </is>
      </c>
      <c r="C50" s="3" t="n">
        <v>5400</v>
      </c>
      <c r="D50" s="3" t="n">
        <v>3470</v>
      </c>
      <c r="E50" s="4">
        <f>ROUND(C50*D50/1000000,2)</f>
        <v/>
      </c>
      <c r="F50" s="3" t="n">
        <v>1</v>
      </c>
      <c r="G50" s="5">
        <f>ROUND(F50*E50,2)</f>
        <v/>
      </c>
      <c r="H50" s="3" t="inlineStr">
        <is>
          <t>0.000</t>
        </is>
      </c>
    </row>
    <row r="51">
      <c r="A51" s="3" t="n">
        <v>37</v>
      </c>
      <c r="B51" s="3" t="inlineStr">
        <is>
          <t>Вн-5</t>
        </is>
      </c>
      <c r="C51" s="3" t="n">
        <v>7800</v>
      </c>
      <c r="D51" s="3" t="n">
        <v>3470</v>
      </c>
      <c r="E51" s="4">
        <f>ROUND(C51*D51/1000000,2)</f>
        <v/>
      </c>
      <c r="F51" s="3" t="n">
        <v>1</v>
      </c>
      <c r="G51" s="5">
        <f>ROUND(F51*E51,2)</f>
        <v/>
      </c>
      <c r="H51" s="3" t="inlineStr">
        <is>
          <t>0.000</t>
        </is>
      </c>
    </row>
    <row r="52">
      <c r="A52" s="7" t="n"/>
      <c r="B52" s="8" t="inlineStr">
        <is>
          <t>Итого литер Ж</t>
        </is>
      </c>
      <c r="C52" s="7" t="n"/>
      <c r="D52" s="7" t="n"/>
      <c r="E52" s="9" t="n"/>
      <c r="F52" s="8">
        <f>SUM(F47:F51)</f>
        <v/>
      </c>
      <c r="G52" s="10">
        <f>SUM(G47:G51)</f>
        <v/>
      </c>
      <c r="H52" s="7" t="n"/>
    </row>
    <row r="53">
      <c r="A53" s="3" t="n"/>
      <c r="B53" s="16" t="inlineStr">
        <is>
          <t>ВСЕГО</t>
        </is>
      </c>
      <c r="C53" s="3" t="n"/>
      <c r="D53" s="3" t="n"/>
      <c r="E53" s="4" t="n"/>
      <c r="F53" s="16">
        <f>F12+F21+F29+F39+F45+F52</f>
        <v/>
      </c>
      <c r="G53" s="17">
        <f>G12+G21+G29+G39+G45+G52</f>
        <v/>
      </c>
      <c r="H53" s="3" t="n"/>
    </row>
  </sheetData>
  <mergeCells count="6">
    <mergeCell ref="B22:H22"/>
    <mergeCell ref="B40:H40"/>
    <mergeCell ref="B13:H13"/>
    <mergeCell ref="B4:H4"/>
    <mergeCell ref="B30:H30"/>
    <mergeCell ref="B46:H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7" customWidth="1" min="3" max="3"/>
    <col width="9" customWidth="1" min="4" max="4"/>
    <col width="8" customWidth="1" min="5" max="5"/>
    <col width="11" customWidth="1" min="6" max="6"/>
    <col width="11" customWidth="1" min="7" max="7"/>
  </cols>
  <sheetData>
    <row r="1">
      <c r="A1" s="18" t="inlineStr">
        <is>
          <t>Каждая марка на чертежах (координаты — точка выноски в координатах модели, мм)</t>
        </is>
      </c>
    </row>
    <row r="3">
      <c r="A3" s="2" t="inlineStr">
        <is>
          <t>№</t>
        </is>
      </c>
      <c r="B3" s="2" t="inlineStr">
        <is>
          <t>Чертёж</t>
        </is>
      </c>
      <c r="C3" s="2" t="inlineStr">
        <is>
          <t>Литер</t>
        </is>
      </c>
      <c r="D3" s="2" t="inlineStr">
        <is>
          <t>Марка</t>
        </is>
      </c>
      <c r="E3" s="2" t="inlineStr">
        <is>
          <t>Дверь</t>
        </is>
      </c>
      <c r="F3" s="2" t="inlineStr">
        <is>
          <t>X, мм</t>
        </is>
      </c>
      <c r="G3" s="2" t="inlineStr">
        <is>
          <t>Y, мм</t>
        </is>
      </c>
    </row>
    <row r="4">
      <c r="A4" s="3" t="n">
        <v>1</v>
      </c>
      <c r="B4" s="3" t="inlineStr">
        <is>
          <t>План на отм. -6.000</t>
        </is>
      </c>
      <c r="C4" s="3" t="inlineStr">
        <is>
          <t>А</t>
        </is>
      </c>
      <c r="D4" s="3" t="inlineStr">
        <is>
          <t>Вн-6</t>
        </is>
      </c>
      <c r="E4" s="3" t="inlineStr">
        <is>
          <t>Д17*</t>
        </is>
      </c>
      <c r="F4" s="19" t="n">
        <v>129957</v>
      </c>
      <c r="G4" s="19" t="n">
        <v>-240209</v>
      </c>
    </row>
    <row r="5">
      <c r="A5" s="3" t="n">
        <v>2</v>
      </c>
      <c r="B5" s="3" t="inlineStr">
        <is>
          <t>План на отм. -6.000</t>
        </is>
      </c>
      <c r="C5" s="3" t="inlineStr">
        <is>
          <t>А</t>
        </is>
      </c>
      <c r="D5" s="3" t="inlineStr">
        <is>
          <t>Вн-6</t>
        </is>
      </c>
      <c r="E5" s="3" t="inlineStr">
        <is>
          <t>Д17*</t>
        </is>
      </c>
      <c r="F5" s="19" t="n">
        <v>140357</v>
      </c>
      <c r="G5" s="19" t="n">
        <v>-240209</v>
      </c>
    </row>
    <row r="6">
      <c r="A6" s="3" t="n">
        <v>3</v>
      </c>
      <c r="B6" s="3" t="inlineStr">
        <is>
          <t>План на отм. -6.000</t>
        </is>
      </c>
      <c r="C6" s="3" t="inlineStr">
        <is>
          <t>А</t>
        </is>
      </c>
      <c r="D6" s="3" t="inlineStr">
        <is>
          <t>Вн-6</t>
        </is>
      </c>
      <c r="E6" s="3" t="inlineStr">
        <is>
          <t>Д17*</t>
        </is>
      </c>
      <c r="F6" s="19" t="n">
        <v>150757</v>
      </c>
      <c r="G6" s="19" t="n">
        <v>-240209</v>
      </c>
    </row>
    <row r="7">
      <c r="A7" s="3" t="n">
        <v>4</v>
      </c>
      <c r="B7" s="3" t="inlineStr">
        <is>
          <t>План на отм. -6.000</t>
        </is>
      </c>
      <c r="C7" s="3" t="inlineStr">
        <is>
          <t>А</t>
        </is>
      </c>
      <c r="D7" s="3" t="inlineStr">
        <is>
          <t>Вн-8</t>
        </is>
      </c>
      <c r="E7" s="3" t="inlineStr"/>
      <c r="F7" s="19" t="n">
        <v>144757</v>
      </c>
      <c r="G7" s="19" t="n">
        <v>-240209</v>
      </c>
    </row>
    <row r="8">
      <c r="A8" s="3" t="n">
        <v>5</v>
      </c>
      <c r="B8" s="3" t="inlineStr">
        <is>
          <t>План на отм. -6.000</t>
        </is>
      </c>
      <c r="C8" s="3" t="inlineStr">
        <is>
          <t>А</t>
        </is>
      </c>
      <c r="D8" s="3" t="inlineStr">
        <is>
          <t>Вн-14</t>
        </is>
      </c>
      <c r="E8" s="3" t="inlineStr">
        <is>
          <t>Д17*</t>
        </is>
      </c>
      <c r="F8" s="19" t="n">
        <v>134299</v>
      </c>
      <c r="G8" s="19" t="n">
        <v>-240209</v>
      </c>
    </row>
    <row r="9">
      <c r="A9" s="3" t="n">
        <v>6</v>
      </c>
      <c r="B9" s="3" t="inlineStr">
        <is>
          <t>План на отм. -6.000</t>
        </is>
      </c>
      <c r="C9" s="3" t="inlineStr">
        <is>
          <t>А</t>
        </is>
      </c>
      <c r="D9" s="3" t="inlineStr">
        <is>
          <t>Вн-15</t>
        </is>
      </c>
      <c r="E9" s="3" t="inlineStr">
        <is>
          <t>Д17*</t>
        </is>
      </c>
      <c r="F9" s="19" t="n">
        <v>136557</v>
      </c>
      <c r="G9" s="19" t="n">
        <v>-240209</v>
      </c>
    </row>
    <row r="10">
      <c r="A10" s="3" t="n">
        <v>7</v>
      </c>
      <c r="B10" s="3" t="inlineStr">
        <is>
          <t>План на отм. -6.000</t>
        </is>
      </c>
      <c r="C10" s="3" t="inlineStr">
        <is>
          <t>Б</t>
        </is>
      </c>
      <c r="D10" s="3" t="inlineStr">
        <is>
          <t>Вн-6</t>
        </is>
      </c>
      <c r="E10" s="3" t="inlineStr">
        <is>
          <t>Д17*</t>
        </is>
      </c>
      <c r="F10" s="19" t="n">
        <v>118357</v>
      </c>
      <c r="G10" s="19" t="n">
        <v>-240209</v>
      </c>
    </row>
    <row r="11">
      <c r="A11" s="3" t="n">
        <v>8</v>
      </c>
      <c r="B11" s="3" t="inlineStr">
        <is>
          <t>План на отм. -6.000</t>
        </is>
      </c>
      <c r="C11" s="3" t="inlineStr">
        <is>
          <t>Б</t>
        </is>
      </c>
      <c r="D11" s="3" t="inlineStr">
        <is>
          <t>Вн-6</t>
        </is>
      </c>
      <c r="E11" s="3" t="inlineStr">
        <is>
          <t>Д17*</t>
        </is>
      </c>
      <c r="F11" s="19" t="n">
        <v>96357</v>
      </c>
      <c r="G11" s="19" t="n">
        <v>-240209</v>
      </c>
    </row>
    <row r="12">
      <c r="A12" s="3" t="n">
        <v>9</v>
      </c>
      <c r="B12" s="3" t="inlineStr">
        <is>
          <t>План на отм. -6.000</t>
        </is>
      </c>
      <c r="C12" s="3" t="inlineStr">
        <is>
          <t>Б</t>
        </is>
      </c>
      <c r="D12" s="3" t="inlineStr">
        <is>
          <t>Вн-6</t>
        </is>
      </c>
      <c r="E12" s="3" t="inlineStr">
        <is>
          <t>Д17*</t>
        </is>
      </c>
      <c r="F12" s="19" t="n">
        <v>106757</v>
      </c>
      <c r="G12" s="19" t="n">
        <v>-240209</v>
      </c>
    </row>
    <row r="13">
      <c r="A13" s="3" t="n">
        <v>10</v>
      </c>
      <c r="B13" s="3" t="inlineStr">
        <is>
          <t>План на отм. -6.000</t>
        </is>
      </c>
      <c r="C13" s="3" t="inlineStr">
        <is>
          <t>Б</t>
        </is>
      </c>
      <c r="D13" s="3" t="inlineStr">
        <is>
          <t>Вн-15</t>
        </is>
      </c>
      <c r="E13" s="3" t="inlineStr">
        <is>
          <t>Д17*</t>
        </is>
      </c>
      <c r="F13" s="19" t="n">
        <v>103802</v>
      </c>
      <c r="G13" s="19" t="n">
        <v>-240189</v>
      </c>
    </row>
    <row r="14">
      <c r="A14" s="3" t="n">
        <v>11</v>
      </c>
      <c r="B14" s="3" t="inlineStr">
        <is>
          <t>План на отм. -6.000</t>
        </is>
      </c>
      <c r="C14" s="3" t="inlineStr">
        <is>
          <t>Б</t>
        </is>
      </c>
      <c r="D14" s="3" t="inlineStr">
        <is>
          <t>Вн-17</t>
        </is>
      </c>
      <c r="E14" s="3" t="inlineStr"/>
      <c r="F14" s="19" t="n">
        <v>111957</v>
      </c>
      <c r="G14" s="19" t="n">
        <v>-240209</v>
      </c>
    </row>
    <row r="15">
      <c r="A15" s="3" t="n">
        <v>12</v>
      </c>
      <c r="B15" s="3" t="inlineStr">
        <is>
          <t>План на отм. -6.000</t>
        </is>
      </c>
      <c r="C15" s="3" t="inlineStr">
        <is>
          <t>Б</t>
        </is>
      </c>
      <c r="D15" s="3" t="inlineStr">
        <is>
          <t>Вн-18</t>
        </is>
      </c>
      <c r="E15" s="3" t="inlineStr">
        <is>
          <t>Д17*</t>
        </is>
      </c>
      <c r="F15" s="19" t="n">
        <v>101557</v>
      </c>
      <c r="G15" s="19" t="n">
        <v>-240209</v>
      </c>
    </row>
    <row r="16">
      <c r="A16" s="3" t="n">
        <v>13</v>
      </c>
      <c r="B16" s="3" t="inlineStr">
        <is>
          <t>План на отм. -6.000</t>
        </is>
      </c>
      <c r="C16" s="3" t="inlineStr">
        <is>
          <t>В</t>
        </is>
      </c>
      <c r="D16" s="3" t="inlineStr">
        <is>
          <t>Вн-6</t>
        </is>
      </c>
      <c r="E16" s="3" t="inlineStr">
        <is>
          <t>Д17*</t>
        </is>
      </c>
      <c r="F16" s="19" t="n">
        <v>85312</v>
      </c>
      <c r="G16" s="19" t="n">
        <v>-240209</v>
      </c>
    </row>
    <row r="17">
      <c r="A17" s="3" t="n">
        <v>14</v>
      </c>
      <c r="B17" s="3" t="inlineStr">
        <is>
          <t>План на отм. -6.000</t>
        </is>
      </c>
      <c r="C17" s="3" t="inlineStr">
        <is>
          <t>В</t>
        </is>
      </c>
      <c r="D17" s="3" t="inlineStr">
        <is>
          <t>Вн-13</t>
        </is>
      </c>
      <c r="E17" s="3" t="inlineStr"/>
      <c r="F17" s="19" t="n">
        <v>62827</v>
      </c>
      <c r="G17" s="19" t="n">
        <v>-240209</v>
      </c>
    </row>
    <row r="18">
      <c r="A18" s="3" t="n">
        <v>15</v>
      </c>
      <c r="B18" s="3" t="inlineStr">
        <is>
          <t>План на отм. -6.000</t>
        </is>
      </c>
      <c r="C18" s="3" t="inlineStr">
        <is>
          <t>В</t>
        </is>
      </c>
      <c r="D18" s="3" t="inlineStr">
        <is>
          <t>Вн-16</t>
        </is>
      </c>
      <c r="E18" s="3" t="inlineStr">
        <is>
          <t>Д35</t>
        </is>
      </c>
      <c r="F18" s="19" t="n">
        <v>75379</v>
      </c>
      <c r="G18" s="19" t="n">
        <v>-240209</v>
      </c>
    </row>
    <row r="19">
      <c r="A19" s="3" t="n">
        <v>16</v>
      </c>
      <c r="B19" s="3" t="inlineStr">
        <is>
          <t>План на отм. -6.000</t>
        </is>
      </c>
      <c r="C19" s="3" t="inlineStr">
        <is>
          <t>В</t>
        </is>
      </c>
      <c r="D19" s="3" t="inlineStr">
        <is>
          <t>Вн-16</t>
        </is>
      </c>
      <c r="E19" s="3" t="inlineStr">
        <is>
          <t>Д35</t>
        </is>
      </c>
      <c r="F19" s="19" t="n">
        <v>58219</v>
      </c>
      <c r="G19" s="19" t="n">
        <v>-240238</v>
      </c>
    </row>
    <row r="20">
      <c r="A20" s="3" t="n">
        <v>17</v>
      </c>
      <c r="B20" s="3" t="inlineStr">
        <is>
          <t>План на отм. -6.000</t>
        </is>
      </c>
      <c r="C20" s="3" t="inlineStr">
        <is>
          <t>В</t>
        </is>
      </c>
      <c r="D20" s="3" t="inlineStr">
        <is>
          <t>Вн-16</t>
        </is>
      </c>
      <c r="E20" s="3" t="inlineStr">
        <is>
          <t>Д35</t>
        </is>
      </c>
      <c r="F20" s="19" t="n">
        <v>60392</v>
      </c>
      <c r="G20" s="19" t="n">
        <v>-240238</v>
      </c>
    </row>
    <row r="21">
      <c r="A21" s="3" t="n">
        <v>18</v>
      </c>
      <c r="B21" s="3" t="inlineStr">
        <is>
          <t>План на отм. -6.000</t>
        </is>
      </c>
      <c r="C21" s="3" t="inlineStr">
        <is>
          <t>В</t>
        </is>
      </c>
      <c r="D21" s="3" t="inlineStr">
        <is>
          <t>Вн-17</t>
        </is>
      </c>
      <c r="E21" s="3" t="inlineStr">
        <is>
          <t>Д17*</t>
        </is>
      </c>
      <c r="F21" s="19" t="n">
        <v>78410</v>
      </c>
      <c r="G21" s="19" t="n">
        <v>-240123</v>
      </c>
    </row>
    <row r="22">
      <c r="A22" s="3" t="n">
        <v>19</v>
      </c>
      <c r="B22" s="3" t="inlineStr">
        <is>
          <t>План на отм. -6.000</t>
        </is>
      </c>
      <c r="C22" s="3" t="inlineStr">
        <is>
          <t>В</t>
        </is>
      </c>
      <c r="D22" s="3" t="inlineStr">
        <is>
          <t>Вн-19</t>
        </is>
      </c>
      <c r="E22" s="3" t="inlineStr"/>
      <c r="F22" s="19" t="n">
        <v>66863</v>
      </c>
      <c r="G22" s="19" t="n">
        <v>-240209</v>
      </c>
    </row>
    <row r="23">
      <c r="A23" s="3" t="n">
        <v>20</v>
      </c>
      <c r="B23" s="3" t="inlineStr">
        <is>
          <t>План на отм. -6.000</t>
        </is>
      </c>
      <c r="C23" s="3" t="inlineStr">
        <is>
          <t>В</t>
        </is>
      </c>
      <c r="D23" s="3" t="inlineStr">
        <is>
          <t>Вн-19</t>
        </is>
      </c>
      <c r="E23" s="3" t="inlineStr">
        <is>
          <t>Д17*</t>
        </is>
      </c>
      <c r="F23" s="19" t="n">
        <v>72058</v>
      </c>
      <c r="G23" s="19" t="n">
        <v>-240209</v>
      </c>
    </row>
    <row r="24">
      <c r="A24" s="3" t="n">
        <v>21</v>
      </c>
      <c r="B24" s="3" t="inlineStr">
        <is>
          <t>План на отм. -6.000</t>
        </is>
      </c>
      <c r="C24" s="3" t="inlineStr">
        <is>
          <t>Г</t>
        </is>
      </c>
      <c r="D24" s="3" t="inlineStr">
        <is>
          <t>Вн-6</t>
        </is>
      </c>
      <c r="E24" s="3" t="inlineStr">
        <is>
          <t>Д17*</t>
        </is>
      </c>
      <c r="F24" s="19" t="n">
        <v>38425</v>
      </c>
      <c r="G24" s="19" t="n">
        <v>-227349</v>
      </c>
    </row>
    <row r="25">
      <c r="A25" s="3" t="n">
        <v>22</v>
      </c>
      <c r="B25" s="3" t="inlineStr">
        <is>
          <t>План на отм. -6.000</t>
        </is>
      </c>
      <c r="C25" s="3" t="inlineStr">
        <is>
          <t>Г</t>
        </is>
      </c>
      <c r="D25" s="3" t="inlineStr">
        <is>
          <t>Вн-6</t>
        </is>
      </c>
      <c r="E25" s="3" t="inlineStr">
        <is>
          <t>Д17*</t>
        </is>
      </c>
      <c r="F25" s="19" t="n">
        <v>43228</v>
      </c>
      <c r="G25" s="19" t="n">
        <v>-240130</v>
      </c>
    </row>
    <row r="26">
      <c r="A26" s="3" t="n">
        <v>23</v>
      </c>
      <c r="B26" s="3" t="inlineStr">
        <is>
          <t>План на отм. -6.000</t>
        </is>
      </c>
      <c r="C26" s="3" t="inlineStr">
        <is>
          <t>Г</t>
        </is>
      </c>
      <c r="D26" s="3" t="inlineStr">
        <is>
          <t>Вн-6</t>
        </is>
      </c>
      <c r="E26" s="3" t="inlineStr">
        <is>
          <t>Д17*</t>
        </is>
      </c>
      <c r="F26" s="19" t="n">
        <v>53628</v>
      </c>
      <c r="G26" s="19" t="n">
        <v>-240130</v>
      </c>
    </row>
    <row r="27">
      <c r="A27" s="3" t="n">
        <v>24</v>
      </c>
      <c r="B27" s="3" t="inlineStr">
        <is>
          <t>План на отм. -6.000</t>
        </is>
      </c>
      <c r="C27" s="3" t="inlineStr">
        <is>
          <t>Г</t>
        </is>
      </c>
      <c r="D27" s="3" t="inlineStr">
        <is>
          <t>Вн-10</t>
        </is>
      </c>
      <c r="E27" s="3" t="inlineStr">
        <is>
          <t>Д17*</t>
        </is>
      </c>
      <c r="F27" s="19" t="n">
        <v>38425</v>
      </c>
      <c r="G27" s="19" t="n">
        <v>-203499</v>
      </c>
    </row>
    <row r="28">
      <c r="A28" s="3" t="n">
        <v>25</v>
      </c>
      <c r="B28" s="3" t="inlineStr">
        <is>
          <t>План на отм. -6.000</t>
        </is>
      </c>
      <c r="C28" s="3" t="inlineStr">
        <is>
          <t>Г</t>
        </is>
      </c>
      <c r="D28" s="3" t="inlineStr">
        <is>
          <t>Вн-11</t>
        </is>
      </c>
      <c r="E28" s="3" t="inlineStr"/>
      <c r="F28" s="19" t="n">
        <v>38425</v>
      </c>
      <c r="G28" s="19" t="n">
        <v>-213004</v>
      </c>
    </row>
    <row r="29">
      <c r="A29" s="3" t="n">
        <v>26</v>
      </c>
      <c r="B29" s="3" t="inlineStr">
        <is>
          <t>План на отм. -6.000</t>
        </is>
      </c>
      <c r="C29" s="3" t="inlineStr">
        <is>
          <t>Г</t>
        </is>
      </c>
      <c r="D29" s="3" t="inlineStr">
        <is>
          <t>Вн-12</t>
        </is>
      </c>
      <c r="E29" s="3" t="inlineStr">
        <is>
          <t>Д17*</t>
        </is>
      </c>
      <c r="F29" s="19" t="n">
        <v>38425</v>
      </c>
      <c r="G29" s="19" t="n">
        <v>-217364</v>
      </c>
    </row>
    <row r="30">
      <c r="A30" s="3" t="n">
        <v>27</v>
      </c>
      <c r="B30" s="3" t="inlineStr">
        <is>
          <t>План на отм. -6.000</t>
        </is>
      </c>
      <c r="C30" s="3" t="inlineStr">
        <is>
          <t>Г</t>
        </is>
      </c>
      <c r="D30" s="3" t="inlineStr">
        <is>
          <t>Вн-17</t>
        </is>
      </c>
      <c r="E30" s="3" t="inlineStr"/>
      <c r="F30" s="19" t="n">
        <v>38425</v>
      </c>
      <c r="G30" s="19" t="n">
        <v>-237749</v>
      </c>
    </row>
    <row r="31">
      <c r="A31" s="3" t="n">
        <v>28</v>
      </c>
      <c r="B31" s="3" t="inlineStr">
        <is>
          <t>План на отм. -6.000</t>
        </is>
      </c>
      <c r="C31" s="3" t="inlineStr">
        <is>
          <t>Г</t>
        </is>
      </c>
      <c r="D31" s="3" t="inlineStr">
        <is>
          <t>Вн-17</t>
        </is>
      </c>
      <c r="E31" s="3" t="inlineStr"/>
      <c r="F31" s="19" t="n">
        <v>47835</v>
      </c>
      <c r="G31" s="19" t="n">
        <v>-240108</v>
      </c>
    </row>
    <row r="32">
      <c r="A32" s="3" t="n">
        <v>29</v>
      </c>
      <c r="B32" s="3" t="inlineStr">
        <is>
          <t>План на отм. -6.000</t>
        </is>
      </c>
      <c r="C32" s="3" t="inlineStr">
        <is>
          <t>Г</t>
        </is>
      </c>
      <c r="D32" s="3" t="inlineStr">
        <is>
          <t>Вн-20</t>
        </is>
      </c>
      <c r="E32" s="3" t="inlineStr"/>
      <c r="F32" s="19" t="n">
        <v>38425</v>
      </c>
      <c r="G32" s="19" t="n">
        <v>-221999</v>
      </c>
    </row>
    <row r="33">
      <c r="A33" s="3" t="n">
        <v>30</v>
      </c>
      <c r="B33" s="3" t="inlineStr">
        <is>
          <t>План на отм. -6.000</t>
        </is>
      </c>
      <c r="C33" s="3" t="inlineStr">
        <is>
          <t>Г</t>
        </is>
      </c>
      <c r="D33" s="3" t="inlineStr">
        <is>
          <t>Вн-21</t>
        </is>
      </c>
      <c r="E33" s="3" t="inlineStr"/>
      <c r="F33" s="19" t="n">
        <v>38425</v>
      </c>
      <c r="G33" s="19" t="n">
        <v>-231909</v>
      </c>
    </row>
    <row r="34">
      <c r="A34" s="3" t="n">
        <v>31</v>
      </c>
      <c r="B34" s="3" t="inlineStr">
        <is>
          <t>План на отм. -6.000</t>
        </is>
      </c>
      <c r="C34" s="3" t="inlineStr">
        <is>
          <t>Д</t>
        </is>
      </c>
      <c r="D34" s="3" t="inlineStr">
        <is>
          <t>Вн-6</t>
        </is>
      </c>
      <c r="E34" s="3" t="inlineStr"/>
      <c r="F34" s="19" t="n">
        <v>38538</v>
      </c>
      <c r="G34" s="19" t="n">
        <v>-179543</v>
      </c>
    </row>
    <row r="35">
      <c r="A35" s="3" t="n">
        <v>32</v>
      </c>
      <c r="B35" s="3" t="inlineStr">
        <is>
          <t>План на отм. -6.000</t>
        </is>
      </c>
      <c r="C35" s="3" t="inlineStr">
        <is>
          <t>Д</t>
        </is>
      </c>
      <c r="D35" s="3" t="inlineStr">
        <is>
          <t>Вн-6</t>
        </is>
      </c>
      <c r="E35" s="3" t="inlineStr"/>
      <c r="F35" s="19" t="n">
        <v>38538</v>
      </c>
      <c r="G35" s="19" t="n">
        <v>-169143</v>
      </c>
    </row>
    <row r="36">
      <c r="A36" s="3" t="n">
        <v>33</v>
      </c>
      <c r="B36" s="3" t="inlineStr">
        <is>
          <t>План на отм. -6.000</t>
        </is>
      </c>
      <c r="C36" s="3" t="inlineStr">
        <is>
          <t>Д</t>
        </is>
      </c>
      <c r="D36" s="3" t="inlineStr">
        <is>
          <t>Вн-7</t>
        </is>
      </c>
      <c r="E36" s="3" t="inlineStr"/>
      <c r="F36" s="19" t="n">
        <v>38538</v>
      </c>
      <c r="G36" s="19" t="n">
        <v>-174933</v>
      </c>
    </row>
    <row r="37">
      <c r="A37" s="3" t="n">
        <v>34</v>
      </c>
      <c r="B37" s="3" t="inlineStr">
        <is>
          <t>План на отм. -6.000</t>
        </is>
      </c>
      <c r="C37" s="3" t="inlineStr">
        <is>
          <t>Д</t>
        </is>
      </c>
      <c r="D37" s="3" t="inlineStr">
        <is>
          <t>Вн-9</t>
        </is>
      </c>
      <c r="E37" s="3" t="inlineStr">
        <is>
          <t>Д17*</t>
        </is>
      </c>
      <c r="F37" s="19" t="n">
        <v>38538</v>
      </c>
      <c r="G37" s="19" t="n">
        <v>-195128</v>
      </c>
    </row>
    <row r="38">
      <c r="A38" s="3" t="n">
        <v>35</v>
      </c>
      <c r="B38" s="3" t="inlineStr">
        <is>
          <t>План на отм. -6.000</t>
        </is>
      </c>
      <c r="C38" s="3" t="inlineStr">
        <is>
          <t>Д</t>
        </is>
      </c>
      <c r="D38" s="3" t="inlineStr">
        <is>
          <t>Вн-17</t>
        </is>
      </c>
      <c r="E38" s="3" t="inlineStr"/>
      <c r="F38" s="19" t="n">
        <v>38538</v>
      </c>
      <c r="G38" s="19" t="n">
        <v>-189943</v>
      </c>
    </row>
    <row r="39">
      <c r="A39" s="3" t="n">
        <v>36</v>
      </c>
      <c r="B39" s="3" t="inlineStr">
        <is>
          <t>План на отм. 0.000</t>
        </is>
      </c>
      <c r="C39" s="3" t="inlineStr">
        <is>
          <t>А</t>
        </is>
      </c>
      <c r="D39" s="3" t="inlineStr">
        <is>
          <t>Вн-22</t>
        </is>
      </c>
      <c r="E39" s="3" t="inlineStr">
        <is>
          <t>Д17*</t>
        </is>
      </c>
      <c r="F39" s="19" t="n">
        <v>112864</v>
      </c>
      <c r="G39" s="19" t="n">
        <v>2824</v>
      </c>
    </row>
    <row r="40">
      <c r="A40" s="3" t="n">
        <v>37</v>
      </c>
      <c r="B40" s="3" t="inlineStr">
        <is>
          <t>План на отм. 0.000</t>
        </is>
      </c>
      <c r="C40" s="3" t="inlineStr">
        <is>
          <t>А</t>
        </is>
      </c>
      <c r="D40" s="3" t="inlineStr">
        <is>
          <t>Вн-22</t>
        </is>
      </c>
      <c r="E40" s="3" t="inlineStr">
        <is>
          <t>Д17*</t>
        </is>
      </c>
      <c r="F40" s="19" t="n">
        <v>106184</v>
      </c>
      <c r="G40" s="19" t="n">
        <v>2691</v>
      </c>
    </row>
    <row r="41">
      <c r="A41" s="3" t="n">
        <v>38</v>
      </c>
      <c r="B41" s="3" t="inlineStr">
        <is>
          <t>План на отм. 0.000</t>
        </is>
      </c>
      <c r="C41" s="3" t="inlineStr">
        <is>
          <t>А</t>
        </is>
      </c>
      <c r="D41" s="3" t="inlineStr">
        <is>
          <t>Вн-22</t>
        </is>
      </c>
      <c r="E41" s="3" t="inlineStr">
        <is>
          <t>Д17*</t>
        </is>
      </c>
      <c r="F41" s="19" t="n">
        <v>100327</v>
      </c>
      <c r="G41" s="19" t="n">
        <v>2943</v>
      </c>
    </row>
    <row r="42">
      <c r="A42" s="3" t="n">
        <v>39</v>
      </c>
      <c r="B42" s="3" t="inlineStr">
        <is>
          <t>План на отм. 0.000</t>
        </is>
      </c>
      <c r="C42" s="3" t="inlineStr">
        <is>
          <t>А</t>
        </is>
      </c>
      <c r="D42" s="3" t="inlineStr">
        <is>
          <t>Вн-22</t>
        </is>
      </c>
      <c r="E42" s="3" t="inlineStr">
        <is>
          <t>Д17*</t>
        </is>
      </c>
      <c r="F42" s="19" t="n">
        <v>93122</v>
      </c>
      <c r="G42" s="19" t="n">
        <v>2886</v>
      </c>
    </row>
    <row r="43">
      <c r="A43" s="3" t="n">
        <v>40</v>
      </c>
      <c r="B43" s="3" t="inlineStr">
        <is>
          <t>План на отм. 0.000</t>
        </is>
      </c>
      <c r="C43" s="3" t="inlineStr">
        <is>
          <t>А</t>
        </is>
      </c>
      <c r="D43" s="3" t="inlineStr">
        <is>
          <t>Вн-22</t>
        </is>
      </c>
      <c r="E43" s="3" t="inlineStr">
        <is>
          <t>Д17*</t>
        </is>
      </c>
      <c r="F43" s="19" t="n">
        <v>86467</v>
      </c>
      <c r="G43" s="19" t="n">
        <v>2773</v>
      </c>
    </row>
    <row r="44">
      <c r="A44" s="3" t="n">
        <v>41</v>
      </c>
      <c r="B44" s="3" t="inlineStr">
        <is>
          <t>План на отм. 0.000</t>
        </is>
      </c>
      <c r="C44" s="3" t="inlineStr">
        <is>
          <t>А</t>
        </is>
      </c>
      <c r="D44" s="3" t="inlineStr">
        <is>
          <t>Вн-23</t>
        </is>
      </c>
      <c r="E44" s="3" t="inlineStr"/>
      <c r="F44" s="19" t="n">
        <v>96564</v>
      </c>
      <c r="G44" s="19" t="n">
        <v>23905</v>
      </c>
    </row>
    <row r="45">
      <c r="A45" s="3" t="n">
        <v>42</v>
      </c>
      <c r="B45" s="3" t="inlineStr">
        <is>
          <t>План на отм. 0.000</t>
        </is>
      </c>
      <c r="C45" s="3" t="inlineStr">
        <is>
          <t>А</t>
        </is>
      </c>
      <c r="D45" s="3" t="inlineStr">
        <is>
          <t>Вн-24</t>
        </is>
      </c>
      <c r="E45" s="3" t="inlineStr"/>
      <c r="F45" s="19" t="n">
        <v>98072</v>
      </c>
      <c r="G45" s="19" t="n">
        <v>24342</v>
      </c>
    </row>
    <row r="46">
      <c r="A46" s="3" t="n">
        <v>43</v>
      </c>
      <c r="B46" s="3" t="inlineStr">
        <is>
          <t>План на отм. 0.000</t>
        </is>
      </c>
      <c r="C46" s="3" t="inlineStr">
        <is>
          <t>Б</t>
        </is>
      </c>
      <c r="D46" s="3" t="inlineStr">
        <is>
          <t>Вн-22</t>
        </is>
      </c>
      <c r="E46" s="3" t="inlineStr">
        <is>
          <t>Д17*</t>
        </is>
      </c>
      <c r="F46" s="19" t="n">
        <v>79305</v>
      </c>
      <c r="G46" s="19" t="n">
        <v>3099</v>
      </c>
    </row>
    <row r="47">
      <c r="A47" s="3" t="n">
        <v>44</v>
      </c>
      <c r="B47" s="3" t="inlineStr">
        <is>
          <t>План на отм. 0.000</t>
        </is>
      </c>
      <c r="C47" s="3" t="inlineStr">
        <is>
          <t>Б</t>
        </is>
      </c>
      <c r="D47" s="3" t="inlineStr">
        <is>
          <t>Вн-22</t>
        </is>
      </c>
      <c r="E47" s="3" t="inlineStr">
        <is>
          <t>Д17*</t>
        </is>
      </c>
      <c r="F47" s="19" t="n">
        <v>72445</v>
      </c>
      <c r="G47" s="19" t="n">
        <v>3048</v>
      </c>
    </row>
    <row r="48">
      <c r="A48" s="3" t="n">
        <v>45</v>
      </c>
      <c r="B48" s="3" t="inlineStr">
        <is>
          <t>План на отм. 0.000</t>
        </is>
      </c>
      <c r="C48" s="3" t="inlineStr">
        <is>
          <t>Б</t>
        </is>
      </c>
      <c r="D48" s="3" t="inlineStr">
        <is>
          <t>Вн-22</t>
        </is>
      </c>
      <c r="E48" s="3" t="inlineStr">
        <is>
          <t>Д17*</t>
        </is>
      </c>
      <c r="F48" s="19" t="n">
        <v>64804</v>
      </c>
      <c r="G48" s="19" t="n">
        <v>2917</v>
      </c>
    </row>
    <row r="49">
      <c r="A49" s="3" t="n">
        <v>46</v>
      </c>
      <c r="B49" s="3" t="inlineStr">
        <is>
          <t>План на отм. 0.000</t>
        </is>
      </c>
      <c r="C49" s="3" t="inlineStr">
        <is>
          <t>Б</t>
        </is>
      </c>
      <c r="D49" s="3" t="inlineStr">
        <is>
          <t>Вн-22</t>
        </is>
      </c>
      <c r="E49" s="3" t="inlineStr">
        <is>
          <t>Д17*</t>
        </is>
      </c>
      <c r="F49" s="19" t="n">
        <v>59604</v>
      </c>
      <c r="G49" s="19" t="n">
        <v>2985</v>
      </c>
    </row>
    <row r="50">
      <c r="A50" s="3" t="n">
        <v>47</v>
      </c>
      <c r="B50" s="3" t="inlineStr">
        <is>
          <t>План на отм. 0.000</t>
        </is>
      </c>
      <c r="C50" s="3" t="inlineStr">
        <is>
          <t>Б</t>
        </is>
      </c>
      <c r="D50" s="3" t="inlineStr">
        <is>
          <t>Вн-22</t>
        </is>
      </c>
      <c r="E50" s="3" t="inlineStr">
        <is>
          <t>Д17*</t>
        </is>
      </c>
      <c r="F50" s="19" t="n">
        <v>53064</v>
      </c>
      <c r="G50" s="19" t="n">
        <v>2948</v>
      </c>
    </row>
    <row r="51">
      <c r="A51" s="3" t="n">
        <v>48</v>
      </c>
      <c r="B51" s="3" t="inlineStr">
        <is>
          <t>План на отм. 0.000</t>
        </is>
      </c>
      <c r="C51" s="3" t="inlineStr">
        <is>
          <t>Б</t>
        </is>
      </c>
      <c r="D51" s="3" t="inlineStr">
        <is>
          <t>Вн-23</t>
        </is>
      </c>
      <c r="E51" s="3" t="inlineStr"/>
      <c r="F51" s="19" t="n">
        <v>62982</v>
      </c>
      <c r="G51" s="19" t="n">
        <v>23879</v>
      </c>
    </row>
    <row r="52">
      <c r="A52" s="3" t="n">
        <v>49</v>
      </c>
      <c r="B52" s="3" t="inlineStr">
        <is>
          <t>План на отм. 0.000</t>
        </is>
      </c>
      <c r="C52" s="3" t="inlineStr">
        <is>
          <t>Б</t>
        </is>
      </c>
      <c r="D52" s="3" t="inlineStr">
        <is>
          <t>Вн-24</t>
        </is>
      </c>
      <c r="E52" s="3" t="inlineStr"/>
      <c r="F52" s="19" t="n">
        <v>64490</v>
      </c>
      <c r="G52" s="19" t="n">
        <v>24316</v>
      </c>
    </row>
    <row r="53">
      <c r="A53" s="3" t="n">
        <v>50</v>
      </c>
      <c r="B53" s="3" t="inlineStr">
        <is>
          <t>План на отм. 0.000</t>
        </is>
      </c>
      <c r="C53" s="3" t="inlineStr">
        <is>
          <t>В</t>
        </is>
      </c>
      <c r="D53" s="3" t="inlineStr">
        <is>
          <t>Вн-22</t>
        </is>
      </c>
      <c r="E53" s="3" t="inlineStr">
        <is>
          <t>Д35</t>
        </is>
      </c>
      <c r="F53" s="19" t="n">
        <v>45611</v>
      </c>
      <c r="G53" s="19" t="n">
        <v>3036</v>
      </c>
    </row>
    <row r="54">
      <c r="A54" s="3" t="n">
        <v>51</v>
      </c>
      <c r="B54" s="3" t="inlineStr">
        <is>
          <t>План на отм. 0.000</t>
        </is>
      </c>
      <c r="C54" s="3" t="inlineStr">
        <is>
          <t>В</t>
        </is>
      </c>
      <c r="D54" s="3" t="inlineStr">
        <is>
          <t>Вн-22</t>
        </is>
      </c>
      <c r="E54" s="3" t="inlineStr">
        <is>
          <t>Д17*</t>
        </is>
      </c>
      <c r="F54" s="19" t="n">
        <v>39399</v>
      </c>
      <c r="G54" s="19" t="n">
        <v>2969</v>
      </c>
    </row>
    <row r="55">
      <c r="A55" s="3" t="n">
        <v>52</v>
      </c>
      <c r="B55" s="3" t="inlineStr">
        <is>
          <t>План на отм. 0.000</t>
        </is>
      </c>
      <c r="C55" s="3" t="inlineStr">
        <is>
          <t>В</t>
        </is>
      </c>
      <c r="D55" s="3" t="inlineStr">
        <is>
          <t>Вн-22</t>
        </is>
      </c>
      <c r="E55" s="3" t="inlineStr">
        <is>
          <t>Д17*</t>
        </is>
      </c>
      <c r="F55" s="19" t="n">
        <v>33459</v>
      </c>
      <c r="G55" s="19" t="n">
        <v>3046</v>
      </c>
    </row>
    <row r="56">
      <c r="A56" s="3" t="n">
        <v>53</v>
      </c>
      <c r="B56" s="3" t="inlineStr">
        <is>
          <t>План на отм. 0.000</t>
        </is>
      </c>
      <c r="C56" s="3" t="inlineStr">
        <is>
          <t>В</t>
        </is>
      </c>
      <c r="D56" s="3" t="inlineStr">
        <is>
          <t>Вн-22</t>
        </is>
      </c>
      <c r="E56" s="3" t="inlineStr">
        <is>
          <t>Д17*</t>
        </is>
      </c>
      <c r="F56" s="19" t="n">
        <v>26027</v>
      </c>
      <c r="G56" s="19" t="n">
        <v>2978</v>
      </c>
    </row>
    <row r="57">
      <c r="A57" s="3" t="n">
        <v>54</v>
      </c>
      <c r="B57" s="3" t="inlineStr">
        <is>
          <t>План на отм. 0.000</t>
        </is>
      </c>
      <c r="C57" s="3" t="inlineStr">
        <is>
          <t>Г</t>
        </is>
      </c>
      <c r="D57" s="3" t="inlineStr">
        <is>
          <t>Вн-22</t>
        </is>
      </c>
      <c r="E57" s="3" t="inlineStr">
        <is>
          <t>Д22</t>
        </is>
      </c>
      <c r="F57" s="19" t="n">
        <v>15931</v>
      </c>
      <c r="G57" s="19" t="n">
        <v>3068</v>
      </c>
    </row>
    <row r="58">
      <c r="A58" s="3" t="n">
        <v>55</v>
      </c>
      <c r="B58" s="3" t="inlineStr">
        <is>
          <t>План на отм. 0.000</t>
        </is>
      </c>
      <c r="C58" s="3" t="inlineStr">
        <is>
          <t>Г</t>
        </is>
      </c>
      <c r="D58" s="3" t="inlineStr">
        <is>
          <t>Вн-22</t>
        </is>
      </c>
      <c r="E58" s="3" t="inlineStr">
        <is>
          <t>Д17*</t>
        </is>
      </c>
      <c r="F58" s="19" t="n">
        <v>6042</v>
      </c>
      <c r="G58" s="19" t="n">
        <v>3010</v>
      </c>
    </row>
    <row r="59">
      <c r="A59" s="3" t="n">
        <v>56</v>
      </c>
      <c r="B59" s="3" t="inlineStr">
        <is>
          <t>План на отм. 0.000</t>
        </is>
      </c>
      <c r="C59" s="3" t="inlineStr">
        <is>
          <t>Г</t>
        </is>
      </c>
      <c r="D59" s="3" t="inlineStr">
        <is>
          <t>Вн-22</t>
        </is>
      </c>
      <c r="E59" s="3" t="inlineStr">
        <is>
          <t>Д17*</t>
        </is>
      </c>
      <c r="F59" s="19" t="n">
        <v>3447</v>
      </c>
      <c r="G59" s="19" t="n">
        <v>15647</v>
      </c>
    </row>
    <row r="60">
      <c r="A60" s="3" t="n">
        <v>57</v>
      </c>
      <c r="B60" s="3" t="inlineStr">
        <is>
          <t>План на отм. 0.000</t>
        </is>
      </c>
      <c r="C60" s="3" t="inlineStr">
        <is>
          <t>Г</t>
        </is>
      </c>
      <c r="D60" s="3" t="inlineStr">
        <is>
          <t>Вн-22</t>
        </is>
      </c>
      <c r="E60" s="3" t="inlineStr">
        <is>
          <t>Д17*</t>
        </is>
      </c>
      <c r="F60" s="19" t="n">
        <v>3479</v>
      </c>
      <c r="G60" s="19" t="n">
        <v>23560</v>
      </c>
    </row>
    <row r="61">
      <c r="A61" s="3" t="n">
        <v>58</v>
      </c>
      <c r="B61" s="3" t="inlineStr">
        <is>
          <t>План на отм. 0.000</t>
        </is>
      </c>
      <c r="C61" s="3" t="inlineStr">
        <is>
          <t>Ж</t>
        </is>
      </c>
      <c r="D61" s="3" t="inlineStr">
        <is>
          <t>Вн-1</t>
        </is>
      </c>
      <c r="E61" s="3" t="inlineStr"/>
      <c r="F61" s="19" t="n">
        <v>49698</v>
      </c>
      <c r="G61" s="19" t="n">
        <v>61096</v>
      </c>
    </row>
    <row r="62">
      <c r="A62" s="3" t="n">
        <v>59</v>
      </c>
      <c r="B62" s="3" t="inlineStr">
        <is>
          <t>План на отм. 0.000</t>
        </is>
      </c>
      <c r="C62" s="3" t="inlineStr">
        <is>
          <t>Ж</t>
        </is>
      </c>
      <c r="D62" s="3" t="inlineStr">
        <is>
          <t>Вн-2</t>
        </is>
      </c>
      <c r="E62" s="3" t="inlineStr"/>
      <c r="F62" s="19" t="n">
        <v>49724</v>
      </c>
      <c r="G62" s="19" t="n">
        <v>57677</v>
      </c>
    </row>
    <row r="63">
      <c r="A63" s="3" t="n">
        <v>60</v>
      </c>
      <c r="B63" s="3" t="inlineStr">
        <is>
          <t>План на отм. 0.000</t>
        </is>
      </c>
      <c r="C63" s="3" t="inlineStr">
        <is>
          <t>Ж</t>
        </is>
      </c>
      <c r="D63" s="3" t="inlineStr">
        <is>
          <t>Вн-3</t>
        </is>
      </c>
      <c r="E63" s="3" t="inlineStr"/>
      <c r="F63" s="19" t="n">
        <v>49680</v>
      </c>
      <c r="G63" s="19" t="n">
        <v>54743</v>
      </c>
    </row>
    <row r="64">
      <c r="A64" s="3" t="n">
        <v>61</v>
      </c>
      <c r="B64" s="3" t="inlineStr">
        <is>
          <t>План на отм. 0.000</t>
        </is>
      </c>
      <c r="C64" s="3" t="inlineStr">
        <is>
          <t>Ж</t>
        </is>
      </c>
      <c r="D64" s="3" t="inlineStr">
        <is>
          <t>Вн-4</t>
        </is>
      </c>
      <c r="E64" s="3" t="inlineStr"/>
      <c r="F64" s="19" t="n">
        <v>50629</v>
      </c>
      <c r="G64" s="19" t="n">
        <v>47022</v>
      </c>
    </row>
    <row r="65">
      <c r="A65" s="3" t="n">
        <v>62</v>
      </c>
      <c r="B65" s="3" t="inlineStr">
        <is>
          <t>План на отм. 0.000</t>
        </is>
      </c>
      <c r="C65" s="3" t="inlineStr">
        <is>
          <t>Ж</t>
        </is>
      </c>
      <c r="D65" s="3" t="inlineStr">
        <is>
          <t>Вн-5</t>
        </is>
      </c>
      <c r="E65" s="3" t="inlineStr"/>
      <c r="F65" s="19" t="n">
        <v>56334</v>
      </c>
      <c r="G65" s="19" t="n">
        <v>47106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2026-09-28T07:37:26Z</dcterms:created>
  <dcterms:modified xsi:type="dcterms:W3CDTF">2026-09-28T07:37:26Z</dcterms:modified>
</cp:coreProperties>
</file>