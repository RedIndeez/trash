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Закрытие по ВДЦ" sheetId="2" state="visible" r:id="rId2"/>
    <sheet xmlns:r="http://schemas.openxmlformats.org/officeDocument/2006/relationships" name="По литерам" sheetId="3" state="visible" r:id="rId3"/>
    <sheet xmlns:r="http://schemas.openxmlformats.org/officeDocument/2006/relationships" name="Двери" sheetId="4" state="visible" r:id="rId4"/>
    <sheet xmlns:r="http://schemas.openxmlformats.org/officeDocument/2006/relationships" name="Привязка к чертежам" sheetId="5" state="visible" r:id="rId5"/>
    <sheet xmlns:r="http://schemas.openxmlformats.org/officeDocument/2006/relationships" name="В КП, не вошло" sheetId="6" state="visible" r:id="rId6"/>
    <sheet xmlns:r="http://schemas.openxmlformats.org/officeDocument/2006/relationships" name="Сверка с К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9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1" customWidth="1" min="12" max="12"/>
    <col width="10" customWidth="1" min="13" max="13"/>
    <col width="13" customWidth="1" min="14" max="14"/>
    <col width="34" customWidth="1" min="15" max="15"/>
  </cols>
  <sheetData>
    <row r="1">
      <c r="A1" s="1" t="inlineStr">
        <is>
          <t>Спецификация витражей (по планам на отм. -6.000 и 0.000, марки выделены красным) — только позиции, входящие в КП</t>
        </is>
      </c>
    </row>
    <row r="3" ht="62" customHeight="1">
      <c r="A3" s="2" t="inlineStr">
        <is>
          <t>№</t>
        </is>
      </c>
      <c r="B3" s="2" t="inlineStr">
        <is>
          <t>Марка</t>
        </is>
      </c>
      <c r="C3" s="2" t="inlineStr">
        <is>
          <t>Длина, мм</t>
        </is>
      </c>
      <c r="D3" s="2" t="inlineStr">
        <is>
          <t>Высота, мм</t>
        </is>
      </c>
      <c r="E3" s="2" t="inlineStr">
        <is>
          <t>Площадь 1 шт по КП, м²</t>
        </is>
      </c>
      <c r="F3" s="2" t="inlineStr">
        <is>
          <t>Литер А</t>
        </is>
      </c>
      <c r="G3" s="2" t="inlineStr">
        <is>
          <t>Литер Б</t>
        </is>
      </c>
      <c r="H3" s="2" t="inlineStr">
        <is>
          <t>Литер В</t>
        </is>
      </c>
      <c r="I3" s="2" t="inlineStr">
        <is>
          <t>Литер Г</t>
        </is>
      </c>
      <c r="J3" s="2" t="inlineStr">
        <is>
          <t>Литер Д</t>
        </is>
      </c>
      <c r="K3" s="2" t="inlineStr">
        <is>
          <t>Всего, шт</t>
        </is>
      </c>
      <c r="L3" s="2" t="inlineStr">
        <is>
          <t>Площадь по КП, м²</t>
        </is>
      </c>
      <c r="M3" s="2" t="inlineStr">
        <is>
          <t>Отметка</t>
        </is>
      </c>
      <c r="N3" s="2" t="inlineStr">
        <is>
          <t>Дверь в составе (по чертежу)</t>
        </is>
      </c>
      <c r="O3" s="2" t="inlineStr">
        <is>
          <t>Примечание</t>
        </is>
      </c>
    </row>
    <row r="4">
      <c r="A4" s="3" t="n">
        <v>1</v>
      </c>
      <c r="B4" s="3" t="inlineStr">
        <is>
          <t>Вн-6</t>
        </is>
      </c>
      <c r="C4" s="3" t="n">
        <v>4200</v>
      </c>
      <c r="D4" s="3" t="n">
        <v>4820</v>
      </c>
      <c r="E4" s="4">
        <f>ROUND(L4/K4,2)</f>
        <v/>
      </c>
      <c r="F4" s="3" t="n">
        <v>4</v>
      </c>
      <c r="G4" s="3" t="n">
        <v>4</v>
      </c>
      <c r="H4" s="3" t="n">
        <v>1</v>
      </c>
      <c r="I4" s="3" t="n">
        <v>1</v>
      </c>
      <c r="J4" s="3" t="n">
        <v>2</v>
      </c>
      <c r="K4" s="3">
        <f>SUM(F4:J4)</f>
        <v/>
      </c>
      <c r="L4" s="5" t="n">
        <v>239.46</v>
      </c>
      <c r="M4" s="3" t="inlineStr">
        <is>
          <t>-6.000</t>
        </is>
      </c>
      <c r="N4" s="6" t="inlineStr">
        <is>
          <t>Д17*</t>
        </is>
      </c>
      <c r="O4" s="6" t="inlineStr">
        <is>
          <t>На чертеже А3, Б3, Г3. Две шт. из лит. Г (КП 1-18 №6, №8) записаны в объёмы лит. А и Б — по ВДЦ А4, Б4, Г1</t>
        </is>
      </c>
    </row>
    <row r="5">
      <c r="A5" s="3" t="n">
        <v>2</v>
      </c>
      <c r="B5" s="3" t="inlineStr">
        <is>
          <t>Вн-7</t>
        </is>
      </c>
      <c r="C5" s="3" t="n">
        <v>3020</v>
      </c>
      <c r="D5" s="3" t="n">
        <v>4820</v>
      </c>
      <c r="E5" s="4">
        <f>ROUND(L5/K5,2)</f>
        <v/>
      </c>
      <c r="F5" s="3" t="n"/>
      <c r="G5" s="3" t="n"/>
      <c r="H5" s="3" t="n"/>
      <c r="I5" s="3" t="n"/>
      <c r="J5" s="3" t="n">
        <v>1</v>
      </c>
      <c r="K5" s="3">
        <f>SUM(F5:J5)</f>
        <v/>
      </c>
      <c r="L5" s="5" t="n">
        <v>19.97</v>
      </c>
      <c r="M5" s="3" t="inlineStr">
        <is>
          <t>-6.000</t>
        </is>
      </c>
      <c r="N5" s="6" t="inlineStr"/>
      <c r="O5" s="6" t="inlineStr"/>
    </row>
    <row r="6">
      <c r="A6" s="3" t="n">
        <v>3</v>
      </c>
      <c r="B6" s="3" t="inlineStr">
        <is>
          <t>Вн-8</t>
        </is>
      </c>
      <c r="C6" s="3" t="n">
        <v>2600</v>
      </c>
      <c r="D6" s="3" t="n">
        <v>4820</v>
      </c>
      <c r="E6" s="4">
        <f>ROUND(L6/K6,2)</f>
        <v/>
      </c>
      <c r="F6" s="3" t="n">
        <v>1</v>
      </c>
      <c r="G6" s="3" t="n"/>
      <c r="H6" s="3" t="n"/>
      <c r="I6" s="3" t="n"/>
      <c r="J6" s="3" t="n"/>
      <c r="K6" s="3">
        <f>SUM(F6:J6)</f>
        <v/>
      </c>
      <c r="L6" s="5" t="n">
        <v>12.34</v>
      </c>
      <c r="M6" s="3" t="inlineStr">
        <is>
          <t>-6.000</t>
        </is>
      </c>
      <c r="N6" s="6" t="inlineStr"/>
      <c r="O6" s="6" t="inlineStr"/>
    </row>
    <row r="7">
      <c r="A7" s="3" t="n">
        <v>4</v>
      </c>
      <c r="B7" s="3" t="inlineStr">
        <is>
          <t>Вн-9</t>
        </is>
      </c>
      <c r="C7" s="3" t="n">
        <v>3870</v>
      </c>
      <c r="D7" s="3" t="n">
        <v>4820</v>
      </c>
      <c r="E7" s="4">
        <f>ROUND(L7/K7,2)</f>
        <v/>
      </c>
      <c r="F7" s="3" t="n"/>
      <c r="G7" s="3" t="n"/>
      <c r="H7" s="3" t="n"/>
      <c r="I7" s="3" t="n"/>
      <c r="J7" s="3" t="n">
        <v>1</v>
      </c>
      <c r="K7" s="3">
        <f>SUM(F7:J7)</f>
        <v/>
      </c>
      <c r="L7" s="5" t="n">
        <v>19.68</v>
      </c>
      <c r="M7" s="3" t="inlineStr">
        <is>
          <t>-6.000</t>
        </is>
      </c>
      <c r="N7" s="6" t="inlineStr">
        <is>
          <t>Д17*</t>
        </is>
      </c>
      <c r="O7" s="6" t="inlineStr"/>
    </row>
    <row r="8">
      <c r="A8" s="3" t="n">
        <v>5</v>
      </c>
      <c r="B8" s="3" t="inlineStr">
        <is>
          <t>Вн-10</t>
        </is>
      </c>
      <c r="C8" s="3" t="n">
        <v>4160</v>
      </c>
      <c r="D8" s="3" t="n">
        <v>4820</v>
      </c>
      <c r="E8" s="4">
        <f>ROUND(L8/K8,2)</f>
        <v/>
      </c>
      <c r="F8" s="3" t="n"/>
      <c r="G8" s="3" t="n"/>
      <c r="H8" s="3" t="n"/>
      <c r="I8" s="3" t="n">
        <v>1</v>
      </c>
      <c r="J8" s="3" t="n"/>
      <c r="K8" s="3">
        <f>SUM(F8:J8)</f>
        <v/>
      </c>
      <c r="L8" s="5" t="n">
        <v>19.97</v>
      </c>
      <c r="M8" s="3" t="inlineStr">
        <is>
          <t>-6.000</t>
        </is>
      </c>
      <c r="N8" s="6" t="inlineStr">
        <is>
          <t>Д17*</t>
        </is>
      </c>
      <c r="O8" s="6" t="inlineStr"/>
    </row>
    <row r="9">
      <c r="A9" s="3" t="n">
        <v>6</v>
      </c>
      <c r="B9" s="3" t="inlineStr">
        <is>
          <t>Вн-11</t>
        </is>
      </c>
      <c r="C9" s="3" t="n">
        <v>2450</v>
      </c>
      <c r="D9" s="3" t="n">
        <v>4820</v>
      </c>
      <c r="E9" s="4">
        <f>ROUND(L9/K9,2)</f>
        <v/>
      </c>
      <c r="F9" s="3" t="n"/>
      <c r="G9" s="3" t="n"/>
      <c r="H9" s="3" t="n"/>
      <c r="I9" s="3" t="n">
        <v>1</v>
      </c>
      <c r="J9" s="3" t="n"/>
      <c r="K9" s="3">
        <f>SUM(F9:J9)</f>
        <v/>
      </c>
      <c r="L9" s="5" t="n">
        <v>11.09</v>
      </c>
      <c r="M9" s="3" t="inlineStr">
        <is>
          <t>-6.000</t>
        </is>
      </c>
      <c r="N9" s="6" t="inlineStr"/>
      <c r="O9" s="6" t="inlineStr"/>
    </row>
    <row r="10">
      <c r="A10" s="3" t="n">
        <v>7</v>
      </c>
      <c r="B10" s="3" t="inlineStr">
        <is>
          <t>Вн-12</t>
        </is>
      </c>
      <c r="C10" s="3" t="n">
        <v>3370</v>
      </c>
      <c r="D10" s="3" t="n">
        <v>4820</v>
      </c>
      <c r="E10" s="4">
        <f>ROUND(L10/K10,2)</f>
        <v/>
      </c>
      <c r="F10" s="3" t="n"/>
      <c r="G10" s="3" t="n"/>
      <c r="H10" s="3" t="n"/>
      <c r="I10" s="3" t="n">
        <v>1</v>
      </c>
      <c r="J10" s="3" t="n"/>
      <c r="K10" s="3">
        <f>SUM(F10:J10)</f>
        <v/>
      </c>
      <c r="L10" s="5" t="n">
        <v>15.6</v>
      </c>
      <c r="M10" s="3" t="inlineStr">
        <is>
          <t>-6.000</t>
        </is>
      </c>
      <c r="N10" s="6" t="inlineStr">
        <is>
          <t>Д17*</t>
        </is>
      </c>
      <c r="O10" s="6" t="inlineStr"/>
    </row>
    <row r="11">
      <c r="A11" s="3" t="n">
        <v>8</v>
      </c>
      <c r="B11" s="3" t="inlineStr">
        <is>
          <t>Вн-13</t>
        </is>
      </c>
      <c r="C11" s="3" t="n">
        <v>3200</v>
      </c>
      <c r="D11" s="3" t="n">
        <v>4820</v>
      </c>
      <c r="E11" s="4">
        <f>ROUND(L11/K11,2)</f>
        <v/>
      </c>
      <c r="F11" s="3" t="n"/>
      <c r="G11" s="3" t="n"/>
      <c r="H11" s="3" t="n">
        <v>1</v>
      </c>
      <c r="I11" s="3" t="n"/>
      <c r="J11" s="3" t="n"/>
      <c r="K11" s="3">
        <f>SUM(F11:J11)</f>
        <v/>
      </c>
      <c r="L11" s="5" t="n">
        <v>14.74</v>
      </c>
      <c r="M11" s="3" t="inlineStr">
        <is>
          <t>-6.000</t>
        </is>
      </c>
      <c r="N11" s="6" t="inlineStr"/>
      <c r="O11" s="6" t="inlineStr"/>
    </row>
    <row r="12">
      <c r="A12" s="3" t="n">
        <v>9</v>
      </c>
      <c r="B12" s="3" t="inlineStr">
        <is>
          <t>Вн-14</t>
        </is>
      </c>
      <c r="C12" s="3" t="n">
        <v>2485</v>
      </c>
      <c r="D12" s="3" t="n">
        <v>4820</v>
      </c>
      <c r="E12" s="4">
        <f>ROUND(L12/K12,2)</f>
        <v/>
      </c>
      <c r="F12" s="3" t="n">
        <v>1</v>
      </c>
      <c r="G12" s="3" t="n"/>
      <c r="H12" s="3" t="n"/>
      <c r="I12" s="3" t="n"/>
      <c r="J12" s="3" t="n"/>
      <c r="K12" s="3">
        <f>SUM(F12:J12)</f>
        <v/>
      </c>
      <c r="L12" s="5" t="n">
        <v>11.14</v>
      </c>
      <c r="M12" s="3" t="inlineStr">
        <is>
          <t>-6.000</t>
        </is>
      </c>
      <c r="N12" s="6" t="inlineStr">
        <is>
          <t>Д17*</t>
        </is>
      </c>
      <c r="O12" s="6" t="inlineStr"/>
    </row>
    <row r="13">
      <c r="A13" s="3" t="n">
        <v>10</v>
      </c>
      <c r="B13" s="3" t="inlineStr">
        <is>
          <t>Вн-15</t>
        </is>
      </c>
      <c r="C13" s="3" t="n">
        <v>1400</v>
      </c>
      <c r="D13" s="3" t="n">
        <v>4820</v>
      </c>
      <c r="E13" s="4">
        <f>ROUND(L13/K13,2)</f>
        <v/>
      </c>
      <c r="F13" s="3" t="n">
        <v>1</v>
      </c>
      <c r="G13" s="3" t="n">
        <v>1</v>
      </c>
      <c r="H13" s="3" t="n"/>
      <c r="I13" s="3" t="n"/>
      <c r="J13" s="3" t="n"/>
      <c r="K13" s="3">
        <f>SUM(F13:J13)</f>
        <v/>
      </c>
      <c r="L13" s="5" t="n">
        <v>11.62</v>
      </c>
      <c r="M13" s="3" t="inlineStr">
        <is>
          <t>-6.000</t>
        </is>
      </c>
      <c r="N13" s="6" t="inlineStr">
        <is>
          <t>Д17*</t>
        </is>
      </c>
      <c r="O13" s="6" t="inlineStr"/>
    </row>
    <row r="14">
      <c r="A14" s="3" t="n">
        <v>11</v>
      </c>
      <c r="B14" s="3" t="inlineStr">
        <is>
          <t>Вн-16</t>
        </is>
      </c>
      <c r="C14" s="3" t="n">
        <v>1200</v>
      </c>
      <c r="D14" s="3" t="n">
        <v>4820</v>
      </c>
      <c r="E14" s="4">
        <f>ROUND(L14/K14,2)</f>
        <v/>
      </c>
      <c r="F14" s="3" t="n"/>
      <c r="G14" s="3" t="n"/>
      <c r="H14" s="3" t="n">
        <v>3</v>
      </c>
      <c r="I14" s="3" t="n"/>
      <c r="J14" s="3" t="n"/>
      <c r="K14" s="3">
        <f>SUM(F14:J14)</f>
        <v/>
      </c>
      <c r="L14" s="5" t="n">
        <v>18.57</v>
      </c>
      <c r="M14" s="3" t="inlineStr">
        <is>
          <t>-6.000</t>
        </is>
      </c>
      <c r="N14" s="6" t="inlineStr">
        <is>
          <t>Д35</t>
        </is>
      </c>
      <c r="O14" s="6" t="inlineStr">
        <is>
          <t>1 шт. у лестницы на границе литеров В/Г отнесён к литеру В</t>
        </is>
      </c>
    </row>
    <row r="15">
      <c r="A15" s="3" t="n">
        <v>12</v>
      </c>
      <c r="B15" s="3" t="inlineStr">
        <is>
          <t>Вн-17</t>
        </is>
      </c>
      <c r="C15" s="3" t="n">
        <v>4200</v>
      </c>
      <c r="D15" s="3" t="n">
        <v>4820</v>
      </c>
      <c r="E15" s="4">
        <f>ROUND(L15/K15,2)</f>
        <v/>
      </c>
      <c r="F15" s="3" t="n"/>
      <c r="G15" s="3" t="n">
        <v>1</v>
      </c>
      <c r="H15" s="3" t="n">
        <v>1</v>
      </c>
      <c r="I15" s="3" t="n">
        <v>1</v>
      </c>
      <c r="J15" s="3" t="n">
        <v>1</v>
      </c>
      <c r="K15" s="3">
        <f>SUM(F15:J15)</f>
        <v/>
      </c>
      <c r="L15" s="5" t="n">
        <v>77.13</v>
      </c>
      <c r="M15" s="3" t="inlineStr">
        <is>
          <t>-6.000</t>
        </is>
      </c>
      <c r="N15" s="6" t="inlineStr">
        <is>
          <t>Д17*</t>
        </is>
      </c>
      <c r="O15" s="6" t="inlineStr">
        <is>
          <t>Лит. Г: на чертеже 2 шт., в КП 1</t>
        </is>
      </c>
    </row>
    <row r="16">
      <c r="A16" s="3" t="n">
        <v>13</v>
      </c>
      <c r="B16" s="3" t="inlineStr">
        <is>
          <t>Вн-18</t>
        </is>
      </c>
      <c r="C16" s="3" t="n">
        <v>2600</v>
      </c>
      <c r="D16" s="3" t="n">
        <v>4820</v>
      </c>
      <c r="E16" s="4">
        <f>ROUND(L16/K16,2)</f>
        <v/>
      </c>
      <c r="F16" s="3" t="n"/>
      <c r="G16" s="3" t="n">
        <v>1</v>
      </c>
      <c r="H16" s="3" t="n"/>
      <c r="I16" s="3" t="n"/>
      <c r="J16" s="3" t="n"/>
      <c r="K16" s="3">
        <f>SUM(F16:J16)</f>
        <v/>
      </c>
      <c r="L16" s="5" t="n">
        <v>11.9</v>
      </c>
      <c r="M16" s="3" t="inlineStr">
        <is>
          <t>-6.000</t>
        </is>
      </c>
      <c r="N16" s="6" t="inlineStr">
        <is>
          <t>Д17*</t>
        </is>
      </c>
      <c r="O16" s="6" t="inlineStr"/>
    </row>
    <row r="17">
      <c r="A17" s="3" t="n">
        <v>14</v>
      </c>
      <c r="B17" s="3" t="inlineStr">
        <is>
          <t>Вн-19</t>
        </is>
      </c>
      <c r="C17" s="3" t="n">
        <v>3000</v>
      </c>
      <c r="D17" s="3" t="n">
        <v>4820</v>
      </c>
      <c r="E17" s="4">
        <f>ROUND(L17/K17,2)</f>
        <v/>
      </c>
      <c r="F17" s="3" t="n"/>
      <c r="G17" s="3" t="n"/>
      <c r="H17" s="3" t="n">
        <v>2</v>
      </c>
      <c r="I17" s="3" t="n"/>
      <c r="J17" s="3" t="n"/>
      <c r="K17" s="3">
        <f>SUM(F17:J17)</f>
        <v/>
      </c>
      <c r="L17" s="5" t="n">
        <v>24.67</v>
      </c>
      <c r="M17" s="3" t="inlineStr">
        <is>
          <t>-6.000</t>
        </is>
      </c>
      <c r="N17" s="6" t="inlineStr">
        <is>
          <t>Д17*</t>
        </is>
      </c>
      <c r="O17" s="6" t="inlineStr"/>
    </row>
    <row r="18">
      <c r="A18" s="3" t="n">
        <v>15</v>
      </c>
      <c r="B18" s="3" t="inlineStr">
        <is>
          <t>Вн-20</t>
        </is>
      </c>
      <c r="C18" s="3" t="n">
        <v>3900</v>
      </c>
      <c r="D18" s="3" t="n">
        <v>4820</v>
      </c>
      <c r="E18" s="4">
        <f>ROUND(L18/K18,2)</f>
        <v/>
      </c>
      <c r="F18" s="3" t="n"/>
      <c r="G18" s="3" t="n"/>
      <c r="H18" s="3" t="n"/>
      <c r="I18" s="3" t="n">
        <v>1</v>
      </c>
      <c r="J18" s="3" t="n"/>
      <c r="K18" s="3">
        <f>SUM(F18:J18)</f>
        <v/>
      </c>
      <c r="L18" s="5" t="n">
        <v>18.43</v>
      </c>
      <c r="M18" s="3" t="inlineStr">
        <is>
          <t>-6.000</t>
        </is>
      </c>
      <c r="N18" s="6" t="inlineStr"/>
      <c r="O18" s="6" t="inlineStr"/>
    </row>
    <row r="19">
      <c r="A19" s="3" t="n">
        <v>16</v>
      </c>
      <c r="B19" s="3" t="inlineStr">
        <is>
          <t>Вн-21</t>
        </is>
      </c>
      <c r="C19" s="3" t="n">
        <v>2920</v>
      </c>
      <c r="D19" s="3" t="n">
        <v>4820</v>
      </c>
      <c r="E19" s="4">
        <f>ROUND(L19/K19,2)</f>
        <v/>
      </c>
      <c r="F19" s="3" t="n"/>
      <c r="G19" s="3" t="n"/>
      <c r="H19" s="3" t="n"/>
      <c r="I19" s="3" t="n">
        <v>1</v>
      </c>
      <c r="J19" s="3" t="n"/>
      <c r="K19" s="3">
        <f>SUM(F19:J19)</f>
        <v/>
      </c>
      <c r="L19" s="5" t="n">
        <v>14.02</v>
      </c>
      <c r="M19" s="3" t="inlineStr">
        <is>
          <t>-6.000</t>
        </is>
      </c>
      <c r="N19" s="6" t="inlineStr"/>
      <c r="O19" s="6" t="inlineStr"/>
    </row>
    <row r="20">
      <c r="A20" s="3" t="n">
        <v>17</v>
      </c>
      <c r="B20" s="3" t="inlineStr">
        <is>
          <t>Вн-22</t>
        </is>
      </c>
      <c r="C20" s="3" t="n">
        <v>2150</v>
      </c>
      <c r="D20" s="3" t="n">
        <v>2720</v>
      </c>
      <c r="E20" s="4">
        <f>ROUND(L20/K20,2)</f>
        <v/>
      </c>
      <c r="F20" s="3" t="n">
        <v>5</v>
      </c>
      <c r="G20" s="3" t="n">
        <v>5</v>
      </c>
      <c r="H20" s="3" t="n">
        <v>1</v>
      </c>
      <c r="I20" s="3" t="n"/>
      <c r="J20" s="3" t="n"/>
      <c r="K20" s="3">
        <f>SUM(F20:J20)</f>
        <v/>
      </c>
      <c r="L20" s="5" t="n">
        <v>62.85</v>
      </c>
      <c r="M20" s="3" t="inlineStr">
        <is>
          <t>0.000</t>
        </is>
      </c>
      <c r="N20" s="6" t="inlineStr">
        <is>
          <t>Д17*, Д35</t>
        </is>
      </c>
      <c r="O20" s="6" t="inlineStr">
        <is>
          <t>КП: 2070×2760. На чертеже 18 шт., в КП 11 (А5, Б5, В1)</t>
        </is>
      </c>
    </row>
    <row r="21">
      <c r="A21" s="7" t="n"/>
      <c r="B21" s="8" t="inlineStr">
        <is>
          <t>ИТОГО</t>
        </is>
      </c>
      <c r="C21" s="7" t="n"/>
      <c r="D21" s="7" t="n"/>
      <c r="E21" s="9" t="n"/>
      <c r="F21" s="8">
        <f>SUM(F4:F20)</f>
        <v/>
      </c>
      <c r="G21" s="8">
        <f>SUM(G4:G20)</f>
        <v/>
      </c>
      <c r="H21" s="8">
        <f>SUM(H4:H20)</f>
        <v/>
      </c>
      <c r="I21" s="8">
        <f>SUM(I4:I20)</f>
        <v/>
      </c>
      <c r="J21" s="8">
        <f>SUM(J4:J20)</f>
        <v/>
      </c>
      <c r="K21" s="8">
        <f>SUM(K4:K20)</f>
        <v/>
      </c>
      <c r="L21" s="10">
        <f>SUM(L4:L20)</f>
        <v/>
      </c>
      <c r="M21" s="7" t="n"/>
      <c r="N21" s="11" t="n"/>
      <c r="O21" s="11" t="n"/>
    </row>
    <row r="23">
      <c r="A23" t="inlineStr">
        <is>
          <t>Размеры — из таблицы заказчика (длина × высота). Количество — по чертежам, но не больше, чем в КП. Площади — по КП (площадь 1 шт — средняя).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2" customWidth="1" min="4" max="4"/>
    <col width="8" customWidth="1" min="5" max="5"/>
    <col width="8" customWidth="1" min="6" max="6"/>
    <col width="10" customWidth="1" min="7" max="7"/>
    <col width="12" customWidth="1" min="8" max="8"/>
    <col width="10" customWidth="1" min="9" max="9"/>
    <col width="11" customWidth="1" min="10" max="10"/>
    <col width="11" customWidth="1" min="11" max="11"/>
    <col width="9" customWidth="1" min="12" max="12"/>
    <col width="44" customWidth="1" min="13" max="13"/>
  </cols>
  <sheetData>
    <row r="1">
      <c r="A1" s="1" t="inlineStr">
        <is>
          <t>Закрытие по ВДЦ (Приложение № 2, лист «Корректировка»): к закрытию — меньшее из ВДЦ и КП, площадь по размерам ВДЦ</t>
        </is>
      </c>
    </row>
    <row r="2">
      <c r="A2" t="inlineStr">
        <is>
          <t>Строка ВДЦ — номер строки «Изготовление и монтаж» на листе «Корректировка». Жёлтым — количество не совпадает с ВДЦ</t>
        </is>
      </c>
    </row>
    <row r="4">
      <c r="A4" s="12" t="inlineStr">
        <is>
          <t>1. Витражи</t>
        </is>
      </c>
    </row>
    <row r="5" ht="62" customHeight="1">
      <c r="A5" s="2" t="inlineStr">
        <is>
          <t>№</t>
        </is>
      </c>
      <c r="B5" s="2" t="inlineStr">
        <is>
          <t>Литер</t>
        </is>
      </c>
      <c r="C5" s="2" t="inlineStr">
        <is>
          <t>Марка</t>
        </is>
      </c>
      <c r="D5" s="2" t="inlineStr">
        <is>
          <t>Размер по ВДЦ, мм</t>
        </is>
      </c>
      <c r="E5" s="2" t="inlineStr">
        <is>
          <t>Строка ВДЦ</t>
        </is>
      </c>
      <c r="F5" s="2" t="inlineStr">
        <is>
          <t>По ВДЦ, шт</t>
        </is>
      </c>
      <c r="G5" s="2" t="inlineStr">
        <is>
          <t>По ВДЦ, м²</t>
        </is>
      </c>
      <c r="H5" s="2" t="inlineStr">
        <is>
          <t>По КП / спецификации, шт</t>
        </is>
      </c>
      <c r="I5" s="2" t="inlineStr">
        <is>
          <t>К закрытию, шт</t>
        </is>
      </c>
      <c r="J5" s="2" t="inlineStr">
        <is>
          <t>К закрытию, м²</t>
        </is>
      </c>
      <c r="K5" s="2" t="inlineStr">
        <is>
          <t>Не закрыто по ВДЦ, шт</t>
        </is>
      </c>
      <c r="L5" s="2" t="inlineStr">
        <is>
          <t>Сверх ВДЦ, шт</t>
        </is>
      </c>
      <c r="M5" s="2" t="inlineStr">
        <is>
          <t>Примечание</t>
        </is>
      </c>
    </row>
    <row r="6">
      <c r="A6" s="3" t="n">
        <v>1</v>
      </c>
      <c r="B6" s="3" t="inlineStr">
        <is>
          <t>А</t>
        </is>
      </c>
      <c r="C6" s="3" t="inlineStr">
        <is>
          <t>Вн-6</t>
        </is>
      </c>
      <c r="D6" s="3" t="inlineStr">
        <is>
          <t>4200×4820</t>
        </is>
      </c>
      <c r="E6" s="3" t="n">
        <v>18</v>
      </c>
      <c r="F6" s="3" t="n">
        <v>4</v>
      </c>
      <c r="G6" s="5">
        <f>4.2*4.82*4</f>
        <v/>
      </c>
      <c r="H6" s="3" t="n">
        <v>4</v>
      </c>
      <c r="I6" s="3">
        <f>MIN(F6,N(H6))</f>
        <v/>
      </c>
      <c r="J6" s="5">
        <f>ROUND(G6/F6*I6,2)</f>
        <v/>
      </c>
      <c r="K6" s="3">
        <f>F6-I6</f>
        <v/>
      </c>
      <c r="L6" s="3">
        <f>N(H6)-I6</f>
        <v/>
      </c>
      <c r="M6" s="6" t="inlineStr">
        <is>
          <t>1 шт. установлена в лит. Г (КП 1-18 №6), объём записан в лит. А</t>
        </is>
      </c>
    </row>
    <row r="7">
      <c r="A7" s="3" t="n">
        <v>2</v>
      </c>
      <c r="B7" s="3" t="inlineStr">
        <is>
          <t>А</t>
        </is>
      </c>
      <c r="C7" s="3" t="inlineStr">
        <is>
          <t>Вн-8</t>
        </is>
      </c>
      <c r="D7" s="3" t="inlineStr">
        <is>
          <t>2600×4820</t>
        </is>
      </c>
      <c r="E7" s="3" t="n">
        <v>20</v>
      </c>
      <c r="F7" s="3" t="n">
        <v>1</v>
      </c>
      <c r="G7" s="5">
        <f>2.6*4.82*1</f>
        <v/>
      </c>
      <c r="H7" s="3" t="n">
        <v>1</v>
      </c>
      <c r="I7" s="3">
        <f>MIN(F7,N(H7))</f>
        <v/>
      </c>
      <c r="J7" s="5">
        <f>ROUND(G7/F7*I7,2)</f>
        <v/>
      </c>
      <c r="K7" s="3">
        <f>F7-I7</f>
        <v/>
      </c>
      <c r="L7" s="3">
        <f>N(H7)-I7</f>
        <v/>
      </c>
      <c r="M7" s="6" t="inlineStr">
        <is>
          <t>совпадает</t>
        </is>
      </c>
    </row>
    <row r="8">
      <c r="A8" s="3" t="n">
        <v>3</v>
      </c>
      <c r="B8" s="3" t="inlineStr">
        <is>
          <t>А</t>
        </is>
      </c>
      <c r="C8" s="3" t="inlineStr">
        <is>
          <t>Вн-14</t>
        </is>
      </c>
      <c r="D8" s="3" t="inlineStr">
        <is>
          <t>2485×4820</t>
        </is>
      </c>
      <c r="E8" s="3" t="n">
        <v>22</v>
      </c>
      <c r="F8" s="3" t="n">
        <v>1</v>
      </c>
      <c r="G8" s="5">
        <f>2.485*4.82*1</f>
        <v/>
      </c>
      <c r="H8" s="3" t="n">
        <v>1</v>
      </c>
      <c r="I8" s="3">
        <f>MIN(F8,N(H8))</f>
        <v/>
      </c>
      <c r="J8" s="5">
        <f>ROUND(G8/F8*I8,2)</f>
        <v/>
      </c>
      <c r="K8" s="3">
        <f>F8-I8</f>
        <v/>
      </c>
      <c r="L8" s="3">
        <f>N(H8)-I8</f>
        <v/>
      </c>
      <c r="M8" s="6" t="inlineStr">
        <is>
          <t>совпадает</t>
        </is>
      </c>
    </row>
    <row r="9">
      <c r="A9" s="3" t="n">
        <v>4</v>
      </c>
      <c r="B9" s="3" t="inlineStr">
        <is>
          <t>А</t>
        </is>
      </c>
      <c r="C9" s="3" t="inlineStr">
        <is>
          <t>Вн-15</t>
        </is>
      </c>
      <c r="D9" s="3" t="inlineStr">
        <is>
          <t>1400×4820</t>
        </is>
      </c>
      <c r="E9" s="3" t="n">
        <v>24</v>
      </c>
      <c r="F9" s="3" t="n">
        <v>1</v>
      </c>
      <c r="G9" s="5">
        <f>1.4*4.82*1</f>
        <v/>
      </c>
      <c r="H9" s="3" t="n">
        <v>1</v>
      </c>
      <c r="I9" s="3">
        <f>MIN(F9,N(H9))</f>
        <v/>
      </c>
      <c r="J9" s="5">
        <f>ROUND(G9/F9*I9,2)</f>
        <v/>
      </c>
      <c r="K9" s="3">
        <f>F9-I9</f>
        <v/>
      </c>
      <c r="L9" s="3">
        <f>N(H9)-I9</f>
        <v/>
      </c>
      <c r="M9" s="6" t="inlineStr">
        <is>
          <t>совпадает</t>
        </is>
      </c>
    </row>
    <row r="10">
      <c r="A10" s="3" t="n">
        <v>5</v>
      </c>
      <c r="B10" s="3" t="inlineStr">
        <is>
          <t>А</t>
        </is>
      </c>
      <c r="C10" s="3" t="inlineStr">
        <is>
          <t>Вн-22</t>
        </is>
      </c>
      <c r="D10" s="3" t="inlineStr">
        <is>
          <t>2150×2720</t>
        </is>
      </c>
      <c r="E10" s="3" t="n">
        <v>26</v>
      </c>
      <c r="F10" s="3" t="n">
        <v>5</v>
      </c>
      <c r="G10" s="5">
        <f>2.15*2.72*5</f>
        <v/>
      </c>
      <c r="H10" s="3" t="n">
        <v>5</v>
      </c>
      <c r="I10" s="3">
        <f>MIN(F10,N(H10))</f>
        <v/>
      </c>
      <c r="J10" s="5">
        <f>ROUND(G10/F10*I10,2)</f>
        <v/>
      </c>
      <c r="K10" s="3">
        <f>F10-I10</f>
        <v/>
      </c>
      <c r="L10" s="3">
        <f>N(H10)-I10</f>
        <v/>
      </c>
      <c r="M10" s="6" t="inlineStr">
        <is>
          <t>КП на 11 шт. распределён по позициям ВДЦ: А5, Б5, В1</t>
        </is>
      </c>
    </row>
    <row r="11">
      <c r="A11" s="13" t="n">
        <v>6</v>
      </c>
      <c r="B11" s="13" t="inlineStr">
        <is>
          <t>А</t>
        </is>
      </c>
      <c r="C11" s="13" t="inlineStr">
        <is>
          <t>Вн-23</t>
        </is>
      </c>
      <c r="D11" s="13" t="inlineStr">
        <is>
          <t>3540×3020</t>
        </is>
      </c>
      <c r="E11" s="13" t="n">
        <v>28</v>
      </c>
      <c r="F11" s="13" t="n">
        <v>1</v>
      </c>
      <c r="G11" s="14">
        <f>3.54*3.02*1</f>
        <v/>
      </c>
      <c r="H11" s="13" t="n"/>
      <c r="I11" s="13">
        <f>MIN(F11,N(H11))</f>
        <v/>
      </c>
      <c r="J11" s="14">
        <f>ROUND(G11/F11*I11,2)</f>
        <v/>
      </c>
      <c r="K11" s="13">
        <f>F11-I11</f>
        <v/>
      </c>
      <c r="L11" s="13">
        <f>N(H11)-I11</f>
        <v/>
      </c>
      <c r="M11" s="15" t="inlineStr">
        <is>
          <t>нет в КП</t>
        </is>
      </c>
    </row>
    <row r="12">
      <c r="A12" s="13" t="n">
        <v>7</v>
      </c>
      <c r="B12" s="13" t="inlineStr">
        <is>
          <t>А</t>
        </is>
      </c>
      <c r="C12" s="13" t="inlineStr">
        <is>
          <t>Вн-24</t>
        </is>
      </c>
      <c r="D12" s="13" t="inlineStr">
        <is>
          <t>2610×3020</t>
        </is>
      </c>
      <c r="E12" s="13" t="n">
        <v>30</v>
      </c>
      <c r="F12" s="13" t="n">
        <v>1</v>
      </c>
      <c r="G12" s="14">
        <f>2.61*3.02*1</f>
        <v/>
      </c>
      <c r="H12" s="13" t="n"/>
      <c r="I12" s="13">
        <f>MIN(F12,N(H12))</f>
        <v/>
      </c>
      <c r="J12" s="14">
        <f>ROUND(G12/F12*I12,2)</f>
        <v/>
      </c>
      <c r="K12" s="13">
        <f>F12-I12</f>
        <v/>
      </c>
      <c r="L12" s="13">
        <f>N(H12)-I12</f>
        <v/>
      </c>
      <c r="M12" s="15" t="inlineStr">
        <is>
          <t>нет в КП</t>
        </is>
      </c>
    </row>
    <row r="13">
      <c r="A13" s="3" t="n">
        <v>8</v>
      </c>
      <c r="B13" s="3" t="inlineStr">
        <is>
          <t>Б</t>
        </is>
      </c>
      <c r="C13" s="3" t="inlineStr">
        <is>
          <t>Вн-6</t>
        </is>
      </c>
      <c r="D13" s="3" t="inlineStr">
        <is>
          <t>4200×4820</t>
        </is>
      </c>
      <c r="E13" s="3" t="n">
        <v>42</v>
      </c>
      <c r="F13" s="3" t="n">
        <v>4</v>
      </c>
      <c r="G13" s="5">
        <f>4.2*4.82*4</f>
        <v/>
      </c>
      <c r="H13" s="3" t="n">
        <v>4</v>
      </c>
      <c r="I13" s="3">
        <f>MIN(F13,N(H13))</f>
        <v/>
      </c>
      <c r="J13" s="5">
        <f>ROUND(G13/F13*I13,2)</f>
        <v/>
      </c>
      <c r="K13" s="3">
        <f>F13-I13</f>
        <v/>
      </c>
      <c r="L13" s="3">
        <f>N(H13)-I13</f>
        <v/>
      </c>
      <c r="M13" s="6" t="inlineStr">
        <is>
          <t>1 шт. установлена в лит. Г (КП 1-18 №8), объём записан в лит. Б</t>
        </is>
      </c>
    </row>
    <row r="14">
      <c r="A14" s="3" t="n">
        <v>9</v>
      </c>
      <c r="B14" s="3" t="inlineStr">
        <is>
          <t>Б</t>
        </is>
      </c>
      <c r="C14" s="3" t="inlineStr">
        <is>
          <t>Вн-15</t>
        </is>
      </c>
      <c r="D14" s="3" t="inlineStr">
        <is>
          <t>1400×4820</t>
        </is>
      </c>
      <c r="E14" s="3" t="n">
        <v>44</v>
      </c>
      <c r="F14" s="3" t="n">
        <v>1</v>
      </c>
      <c r="G14" s="5">
        <f>1.4*4.82</f>
        <v/>
      </c>
      <c r="H14" s="3" t="n">
        <v>1</v>
      </c>
      <c r="I14" s="3">
        <f>MIN(F14,N(H14))</f>
        <v/>
      </c>
      <c r="J14" s="5">
        <f>ROUND(G14/F14*I14,2)</f>
        <v/>
      </c>
      <c r="K14" s="3">
        <f>F14-I14</f>
        <v/>
      </c>
      <c r="L14" s="3">
        <f>N(H14)-I14</f>
        <v/>
      </c>
      <c r="M14" s="6" t="inlineStr">
        <is>
          <t>совпадает</t>
        </is>
      </c>
    </row>
    <row r="15">
      <c r="A15" s="3" t="n">
        <v>10</v>
      </c>
      <c r="B15" s="3" t="inlineStr">
        <is>
          <t>Б</t>
        </is>
      </c>
      <c r="C15" s="3" t="inlineStr">
        <is>
          <t>Вн-17</t>
        </is>
      </c>
      <c r="D15" s="3" t="inlineStr">
        <is>
          <t>4200×4820</t>
        </is>
      </c>
      <c r="E15" s="3" t="n">
        <v>46</v>
      </c>
      <c r="F15" s="3" t="n">
        <v>1</v>
      </c>
      <c r="G15" s="5">
        <f>4.2*4.82</f>
        <v/>
      </c>
      <c r="H15" s="3" t="n">
        <v>1</v>
      </c>
      <c r="I15" s="3">
        <f>MIN(F15,N(H15))</f>
        <v/>
      </c>
      <c r="J15" s="5">
        <f>ROUND(G15/F15*I15,2)</f>
        <v/>
      </c>
      <c r="K15" s="3">
        <f>F15-I15</f>
        <v/>
      </c>
      <c r="L15" s="3">
        <f>N(H15)-I15</f>
        <v/>
      </c>
      <c r="M15" s="6" t="inlineStr">
        <is>
          <t>совпадает</t>
        </is>
      </c>
    </row>
    <row r="16">
      <c r="A16" s="3" t="n">
        <v>11</v>
      </c>
      <c r="B16" s="3" t="inlineStr">
        <is>
          <t>Б</t>
        </is>
      </c>
      <c r="C16" s="3" t="inlineStr">
        <is>
          <t>Вн-18</t>
        </is>
      </c>
      <c r="D16" s="3" t="inlineStr">
        <is>
          <t>2600×4820</t>
        </is>
      </c>
      <c r="E16" s="3" t="n">
        <v>48</v>
      </c>
      <c r="F16" s="3" t="n">
        <v>1</v>
      </c>
      <c r="G16" s="5">
        <f>2.6*4.82</f>
        <v/>
      </c>
      <c r="H16" s="3" t="n">
        <v>1</v>
      </c>
      <c r="I16" s="3">
        <f>MIN(F16,N(H16))</f>
        <v/>
      </c>
      <c r="J16" s="5">
        <f>ROUND(G16/F16*I16,2)</f>
        <v/>
      </c>
      <c r="K16" s="3">
        <f>F16-I16</f>
        <v/>
      </c>
      <c r="L16" s="3">
        <f>N(H16)-I16</f>
        <v/>
      </c>
      <c r="M16" s="6" t="inlineStr">
        <is>
          <t>совпадает</t>
        </is>
      </c>
    </row>
    <row r="17">
      <c r="A17" s="3" t="n">
        <v>12</v>
      </c>
      <c r="B17" s="3" t="inlineStr">
        <is>
          <t>Б</t>
        </is>
      </c>
      <c r="C17" s="3" t="inlineStr">
        <is>
          <t>Вн-22</t>
        </is>
      </c>
      <c r="D17" s="3" t="inlineStr">
        <is>
          <t>2150×2720</t>
        </is>
      </c>
      <c r="E17" s="3" t="n">
        <v>50</v>
      </c>
      <c r="F17" s="3" t="n">
        <v>5</v>
      </c>
      <c r="G17" s="5">
        <f>2.15*2.72*5</f>
        <v/>
      </c>
      <c r="H17" s="3" t="n">
        <v>5</v>
      </c>
      <c r="I17" s="3">
        <f>MIN(F17,N(H17))</f>
        <v/>
      </c>
      <c r="J17" s="5">
        <f>ROUND(G17/F17*I17,2)</f>
        <v/>
      </c>
      <c r="K17" s="3">
        <f>F17-I17</f>
        <v/>
      </c>
      <c r="L17" s="3">
        <f>N(H17)-I17</f>
        <v/>
      </c>
      <c r="M17" s="6" t="inlineStr">
        <is>
          <t>КП на 11 шт. распределён по позициям ВДЦ: А5, Б5, В1</t>
        </is>
      </c>
    </row>
    <row r="18">
      <c r="A18" s="13" t="n">
        <v>13</v>
      </c>
      <c r="B18" s="13" t="inlineStr">
        <is>
          <t>Б</t>
        </is>
      </c>
      <c r="C18" s="13" t="inlineStr">
        <is>
          <t>Вн-23</t>
        </is>
      </c>
      <c r="D18" s="13" t="inlineStr">
        <is>
          <t>3540×3020</t>
        </is>
      </c>
      <c r="E18" s="13" t="n">
        <v>52</v>
      </c>
      <c r="F18" s="13" t="n">
        <v>1</v>
      </c>
      <c r="G18" s="14">
        <f>3.54*3.02*1</f>
        <v/>
      </c>
      <c r="H18" s="13" t="n"/>
      <c r="I18" s="13">
        <f>MIN(F18,N(H18))</f>
        <v/>
      </c>
      <c r="J18" s="14">
        <f>ROUND(G18/F18*I18,2)</f>
        <v/>
      </c>
      <c r="K18" s="13">
        <f>F18-I18</f>
        <v/>
      </c>
      <c r="L18" s="13">
        <f>N(H18)-I18</f>
        <v/>
      </c>
      <c r="M18" s="15" t="inlineStr">
        <is>
          <t>нет в КП</t>
        </is>
      </c>
    </row>
    <row r="19">
      <c r="A19" s="13" t="n">
        <v>14</v>
      </c>
      <c r="B19" s="13" t="inlineStr">
        <is>
          <t>Б</t>
        </is>
      </c>
      <c r="C19" s="13" t="inlineStr">
        <is>
          <t>Вн-24</t>
        </is>
      </c>
      <c r="D19" s="13" t="inlineStr">
        <is>
          <t>2610×3020</t>
        </is>
      </c>
      <c r="E19" s="13" t="n">
        <v>54</v>
      </c>
      <c r="F19" s="13" t="n">
        <v>1</v>
      </c>
      <c r="G19" s="14">
        <f>2.61*3.02*1</f>
        <v/>
      </c>
      <c r="H19" s="13" t="n"/>
      <c r="I19" s="13">
        <f>MIN(F19,N(H19))</f>
        <v/>
      </c>
      <c r="J19" s="14">
        <f>ROUND(G19/F19*I19,2)</f>
        <v/>
      </c>
      <c r="K19" s="13">
        <f>F19-I19</f>
        <v/>
      </c>
      <c r="L19" s="13">
        <f>N(H19)-I19</f>
        <v/>
      </c>
      <c r="M19" s="15" t="inlineStr">
        <is>
          <t>нет в КП</t>
        </is>
      </c>
    </row>
    <row r="20">
      <c r="A20" s="3" t="n">
        <v>15</v>
      </c>
      <c r="B20" s="3" t="inlineStr">
        <is>
          <t>В</t>
        </is>
      </c>
      <c r="C20" s="3" t="inlineStr">
        <is>
          <t>Вн-6</t>
        </is>
      </c>
      <c r="D20" s="3" t="inlineStr">
        <is>
          <t>4200×4820</t>
        </is>
      </c>
      <c r="E20" s="3" t="n">
        <v>66</v>
      </c>
      <c r="F20" s="3" t="n">
        <v>1</v>
      </c>
      <c r="G20" s="5">
        <f>4.2*4.82*1</f>
        <v/>
      </c>
      <c r="H20" s="3" t="n">
        <v>1</v>
      </c>
      <c r="I20" s="3">
        <f>MIN(F20,N(H20))</f>
        <v/>
      </c>
      <c r="J20" s="5">
        <f>ROUND(G20/F20*I20,2)</f>
        <v/>
      </c>
      <c r="K20" s="3">
        <f>F20-I20</f>
        <v/>
      </c>
      <c r="L20" s="3">
        <f>N(H20)-I20</f>
        <v/>
      </c>
      <c r="M20" s="6" t="inlineStr">
        <is>
          <t>совпадает</t>
        </is>
      </c>
    </row>
    <row r="21">
      <c r="A21" s="3" t="n">
        <v>16</v>
      </c>
      <c r="B21" s="3" t="inlineStr">
        <is>
          <t>В</t>
        </is>
      </c>
      <c r="C21" s="3" t="inlineStr">
        <is>
          <t>Вн-13</t>
        </is>
      </c>
      <c r="D21" s="3" t="inlineStr">
        <is>
          <t>3200×4820</t>
        </is>
      </c>
      <c r="E21" s="3" t="n">
        <v>70</v>
      </c>
      <c r="F21" s="3" t="n">
        <v>1</v>
      </c>
      <c r="G21" s="5">
        <f>3.2*4.82*1</f>
        <v/>
      </c>
      <c r="H21" s="3" t="n">
        <v>1</v>
      </c>
      <c r="I21" s="3">
        <f>MIN(F21,N(H21))</f>
        <v/>
      </c>
      <c r="J21" s="5">
        <f>ROUND(G21/F21*I21,2)</f>
        <v/>
      </c>
      <c r="K21" s="3">
        <f>F21-I21</f>
        <v/>
      </c>
      <c r="L21" s="3">
        <f>N(H21)-I21</f>
        <v/>
      </c>
      <c r="M21" s="6" t="inlineStr">
        <is>
          <t>совпадает</t>
        </is>
      </c>
    </row>
    <row r="22">
      <c r="A22" s="13" t="n">
        <v>17</v>
      </c>
      <c r="B22" s="13" t="inlineStr">
        <is>
          <t>В</t>
        </is>
      </c>
      <c r="C22" s="13" t="inlineStr">
        <is>
          <t>Вн-16</t>
        </is>
      </c>
      <c r="D22" s="13" t="inlineStr">
        <is>
          <t>1200×4820</t>
        </is>
      </c>
      <c r="E22" s="13" t="n">
        <v>68</v>
      </c>
      <c r="F22" s="13" t="n">
        <v>1</v>
      </c>
      <c r="G22" s="14">
        <f>1.2*4.82*1</f>
        <v/>
      </c>
      <c r="H22" s="13" t="n">
        <v>3</v>
      </c>
      <c r="I22" s="13">
        <f>MIN(F22,N(H22))</f>
        <v/>
      </c>
      <c r="J22" s="14">
        <f>ROUND(G22/F22*I22,2)</f>
        <v/>
      </c>
      <c r="K22" s="13">
        <f>F22-I22</f>
        <v/>
      </c>
      <c r="L22" s="13">
        <f>N(H22)-I22</f>
        <v/>
      </c>
      <c r="M22" s="15" t="inlineStr">
        <is>
          <t>по чертежу и КП 3 шт., в ВДЦ 1</t>
        </is>
      </c>
    </row>
    <row r="23">
      <c r="A23" s="13" t="n">
        <v>18</v>
      </c>
      <c r="B23" s="13" t="inlineStr">
        <is>
          <t>В</t>
        </is>
      </c>
      <c r="C23" s="13" t="inlineStr">
        <is>
          <t>Вн-17</t>
        </is>
      </c>
      <c r="D23" s="13" t="n"/>
      <c r="E23" s="13" t="n"/>
      <c r="F23" s="13" t="n"/>
      <c r="G23" s="14" t="n"/>
      <c r="H23" s="13" t="n">
        <v>1</v>
      </c>
      <c r="I23" s="13" t="n">
        <v>0</v>
      </c>
      <c r="J23" s="14" t="n">
        <v>0</v>
      </c>
      <c r="K23" s="13" t="n">
        <v>0</v>
      </c>
      <c r="L23" s="13">
        <f>N(H23)</f>
        <v/>
      </c>
      <c r="M23" s="15" t="inlineStr">
        <is>
          <t>в ВДЦ лит. В нет</t>
        </is>
      </c>
    </row>
    <row r="24">
      <c r="A24" s="3" t="n">
        <v>19</v>
      </c>
      <c r="B24" s="3" t="inlineStr">
        <is>
          <t>В</t>
        </is>
      </c>
      <c r="C24" s="3" t="inlineStr">
        <is>
          <t>Вн-19</t>
        </is>
      </c>
      <c r="D24" s="3" t="inlineStr">
        <is>
          <t>3000×4820</t>
        </is>
      </c>
      <c r="E24" s="3" t="n">
        <v>72</v>
      </c>
      <c r="F24" s="3" t="n">
        <v>2</v>
      </c>
      <c r="G24" s="5">
        <f>3*4.82*2</f>
        <v/>
      </c>
      <c r="H24" s="3" t="n">
        <v>2</v>
      </c>
      <c r="I24" s="3">
        <f>MIN(F24,N(H24))</f>
        <v/>
      </c>
      <c r="J24" s="5">
        <f>ROUND(G24/F24*I24,2)</f>
        <v/>
      </c>
      <c r="K24" s="3">
        <f>F24-I24</f>
        <v/>
      </c>
      <c r="L24" s="3">
        <f>N(H24)-I24</f>
        <v/>
      </c>
      <c r="M24" s="6" t="inlineStr">
        <is>
          <t>совпадает</t>
        </is>
      </c>
    </row>
    <row r="25">
      <c r="A25" s="13" t="n">
        <v>20</v>
      </c>
      <c r="B25" s="13" t="inlineStr">
        <is>
          <t>В</t>
        </is>
      </c>
      <c r="C25" s="13" t="inlineStr">
        <is>
          <t>Вн-22</t>
        </is>
      </c>
      <c r="D25" s="13" t="inlineStr">
        <is>
          <t>2150×2720</t>
        </is>
      </c>
      <c r="E25" s="13" t="n">
        <v>74</v>
      </c>
      <c r="F25" s="13" t="n">
        <v>4</v>
      </c>
      <c r="G25" s="14">
        <f>2.15*2.72*4</f>
        <v/>
      </c>
      <c r="H25" s="13" t="n">
        <v>1</v>
      </c>
      <c r="I25" s="13">
        <f>MIN(F25,N(H25))</f>
        <v/>
      </c>
      <c r="J25" s="14">
        <f>ROUND(G25/F25*I25,2)</f>
        <v/>
      </c>
      <c r="K25" s="13">
        <f>F25-I25</f>
        <v/>
      </c>
      <c r="L25" s="13">
        <f>N(H25)-I25</f>
        <v/>
      </c>
      <c r="M25" s="15" t="inlineStr">
        <is>
          <t>КП на 11 шт. распределён по позициям ВДЦ: А5, Б5, В1</t>
        </is>
      </c>
    </row>
    <row r="26">
      <c r="A26" s="3" t="n">
        <v>21</v>
      </c>
      <c r="B26" s="3" t="inlineStr">
        <is>
          <t>Г</t>
        </is>
      </c>
      <c r="C26" s="3" t="inlineStr">
        <is>
          <t>Вн-6</t>
        </is>
      </c>
      <c r="D26" s="3" t="inlineStr">
        <is>
          <t>4200×4820</t>
        </is>
      </c>
      <c r="E26" s="3" t="n">
        <v>88</v>
      </c>
      <c r="F26" s="3" t="n">
        <v>1</v>
      </c>
      <c r="G26" s="5">
        <f>4.2*4.82*1</f>
        <v/>
      </c>
      <c r="H26" s="3" t="n">
        <v>1</v>
      </c>
      <c r="I26" s="3">
        <f>MIN(F26,N(H26))</f>
        <v/>
      </c>
      <c r="J26" s="5">
        <f>ROUND(G26/F26*I26,2)</f>
        <v/>
      </c>
      <c r="K26" s="3">
        <f>F26-I26</f>
        <v/>
      </c>
      <c r="L26" s="3">
        <f>N(H26)-I26</f>
        <v/>
      </c>
      <c r="M26" s="6" t="inlineStr">
        <is>
          <t>на чертеже 3 шт., 2 из них закрываются по лит. А и Б</t>
        </is>
      </c>
    </row>
    <row r="27">
      <c r="A27" s="3" t="n">
        <v>22</v>
      </c>
      <c r="B27" s="3" t="inlineStr">
        <is>
          <t>Г</t>
        </is>
      </c>
      <c r="C27" s="3" t="inlineStr">
        <is>
          <t>Вн-10</t>
        </is>
      </c>
      <c r="D27" s="3" t="inlineStr">
        <is>
          <t>4160×4820</t>
        </is>
      </c>
      <c r="E27" s="3" t="n">
        <v>90</v>
      </c>
      <c r="F27" s="3" t="n">
        <v>1</v>
      </c>
      <c r="G27" s="5">
        <f>4.16*4.82*1</f>
        <v/>
      </c>
      <c r="H27" s="3" t="n">
        <v>1</v>
      </c>
      <c r="I27" s="3">
        <f>MIN(F27,N(H27))</f>
        <v/>
      </c>
      <c r="J27" s="5">
        <f>ROUND(G27/F27*I27,2)</f>
        <v/>
      </c>
      <c r="K27" s="3">
        <f>F27-I27</f>
        <v/>
      </c>
      <c r="L27" s="3">
        <f>N(H27)-I27</f>
        <v/>
      </c>
      <c r="M27" s="6" t="inlineStr">
        <is>
          <t>совпадает</t>
        </is>
      </c>
    </row>
    <row r="28">
      <c r="A28" s="3" t="n">
        <v>23</v>
      </c>
      <c r="B28" s="3" t="inlineStr">
        <is>
          <t>Г</t>
        </is>
      </c>
      <c r="C28" s="3" t="inlineStr">
        <is>
          <t>Вн-11</t>
        </is>
      </c>
      <c r="D28" s="3" t="inlineStr">
        <is>
          <t>2450×4820</t>
        </is>
      </c>
      <c r="E28" s="3" t="n">
        <v>92</v>
      </c>
      <c r="F28" s="3" t="n">
        <v>1</v>
      </c>
      <c r="G28" s="5">
        <f>2.45*4.82</f>
        <v/>
      </c>
      <c r="H28" s="3" t="n">
        <v>1</v>
      </c>
      <c r="I28" s="3">
        <f>MIN(F28,N(H28))</f>
        <v/>
      </c>
      <c r="J28" s="5">
        <f>ROUND(G28/F28*I28,2)</f>
        <v/>
      </c>
      <c r="K28" s="3">
        <f>F28-I28</f>
        <v/>
      </c>
      <c r="L28" s="3">
        <f>N(H28)-I28</f>
        <v/>
      </c>
      <c r="M28" s="6" t="inlineStr">
        <is>
          <t>совпадает</t>
        </is>
      </c>
    </row>
    <row r="29">
      <c r="A29" s="3" t="n">
        <v>24</v>
      </c>
      <c r="B29" s="3" t="inlineStr">
        <is>
          <t>Г</t>
        </is>
      </c>
      <c r="C29" s="3" t="inlineStr">
        <is>
          <t>Вн-12</t>
        </is>
      </c>
      <c r="D29" s="3" t="inlineStr">
        <is>
          <t>3370×4820</t>
        </is>
      </c>
      <c r="E29" s="3" t="n">
        <v>94</v>
      </c>
      <c r="F29" s="3" t="n">
        <v>1</v>
      </c>
      <c r="G29" s="5">
        <f>3.37*4.82</f>
        <v/>
      </c>
      <c r="H29" s="3" t="n">
        <v>1</v>
      </c>
      <c r="I29" s="3">
        <f>MIN(F29,N(H29))</f>
        <v/>
      </c>
      <c r="J29" s="5">
        <f>ROUND(G29/F29*I29,2)</f>
        <v/>
      </c>
      <c r="K29" s="3">
        <f>F29-I29</f>
        <v/>
      </c>
      <c r="L29" s="3">
        <f>N(H29)-I29</f>
        <v/>
      </c>
      <c r="M29" s="6" t="inlineStr">
        <is>
          <t>совпадает</t>
        </is>
      </c>
    </row>
    <row r="30">
      <c r="A30" s="3" t="n">
        <v>25</v>
      </c>
      <c r="B30" s="3" t="inlineStr">
        <is>
          <t>Г</t>
        </is>
      </c>
      <c r="C30" s="3" t="inlineStr">
        <is>
          <t>Вн-17</t>
        </is>
      </c>
      <c r="D30" s="3" t="inlineStr">
        <is>
          <t>4200×4820</t>
        </is>
      </c>
      <c r="E30" s="3" t="n">
        <v>96</v>
      </c>
      <c r="F30" s="3" t="n">
        <v>1</v>
      </c>
      <c r="G30" s="5">
        <f>4.2*4.82</f>
        <v/>
      </c>
      <c r="H30" s="3" t="n">
        <v>1</v>
      </c>
      <c r="I30" s="3">
        <f>MIN(F30,N(H30))</f>
        <v/>
      </c>
      <c r="J30" s="5">
        <f>ROUND(G30/F30*I30,2)</f>
        <v/>
      </c>
      <c r="K30" s="3">
        <f>F30-I30</f>
        <v/>
      </c>
      <c r="L30" s="3">
        <f>N(H30)-I30</f>
        <v/>
      </c>
      <c r="M30" s="6" t="inlineStr">
        <is>
          <t>совпадает</t>
        </is>
      </c>
    </row>
    <row r="31">
      <c r="A31" s="3" t="n">
        <v>26</v>
      </c>
      <c r="B31" s="3" t="inlineStr">
        <is>
          <t>Г</t>
        </is>
      </c>
      <c r="C31" s="3" t="inlineStr">
        <is>
          <t>Вн-20</t>
        </is>
      </c>
      <c r="D31" s="3" t="inlineStr">
        <is>
          <t>3900×4820</t>
        </is>
      </c>
      <c r="E31" s="3" t="n">
        <v>98</v>
      </c>
      <c r="F31" s="3" t="n">
        <v>1</v>
      </c>
      <c r="G31" s="5">
        <f>3.9*4.82</f>
        <v/>
      </c>
      <c r="H31" s="3" t="n">
        <v>1</v>
      </c>
      <c r="I31" s="3">
        <f>MIN(F31,N(H31))</f>
        <v/>
      </c>
      <c r="J31" s="5">
        <f>ROUND(G31/F31*I31,2)</f>
        <v/>
      </c>
      <c r="K31" s="3">
        <f>F31-I31</f>
        <v/>
      </c>
      <c r="L31" s="3">
        <f>N(H31)-I31</f>
        <v/>
      </c>
      <c r="M31" s="6" t="inlineStr">
        <is>
          <t>совпадает</t>
        </is>
      </c>
    </row>
    <row r="32">
      <c r="A32" s="3" t="n">
        <v>27</v>
      </c>
      <c r="B32" s="3" t="inlineStr">
        <is>
          <t>Г</t>
        </is>
      </c>
      <c r="C32" s="3" t="inlineStr">
        <is>
          <t>Вн-21</t>
        </is>
      </c>
      <c r="D32" s="3" t="inlineStr">
        <is>
          <t>2920×4820</t>
        </is>
      </c>
      <c r="E32" s="3" t="n">
        <v>100</v>
      </c>
      <c r="F32" s="3" t="n">
        <v>1</v>
      </c>
      <c r="G32" s="5">
        <f>2.92*4.82</f>
        <v/>
      </c>
      <c r="H32" s="3" t="n">
        <v>1</v>
      </c>
      <c r="I32" s="3">
        <f>MIN(F32,N(H32))</f>
        <v/>
      </c>
      <c r="J32" s="5">
        <f>ROUND(G32/F32*I32,2)</f>
        <v/>
      </c>
      <c r="K32" s="3">
        <f>F32-I32</f>
        <v/>
      </c>
      <c r="L32" s="3">
        <f>N(H32)-I32</f>
        <v/>
      </c>
      <c r="M32" s="6" t="inlineStr">
        <is>
          <t>совпадает</t>
        </is>
      </c>
    </row>
    <row r="33">
      <c r="A33" s="13" t="n">
        <v>28</v>
      </c>
      <c r="B33" s="13" t="inlineStr">
        <is>
          <t>Г</t>
        </is>
      </c>
      <c r="C33" s="13" t="inlineStr">
        <is>
          <t>Вн-22</t>
        </is>
      </c>
      <c r="D33" s="13" t="inlineStr">
        <is>
          <t>2150×2720</t>
        </is>
      </c>
      <c r="E33" s="13" t="n">
        <v>102</v>
      </c>
      <c r="F33" s="13" t="n">
        <v>4</v>
      </c>
      <c r="G33" s="14">
        <f>2.15*2.72*4</f>
        <v/>
      </c>
      <c r="H33" s="13" t="n"/>
      <c r="I33" s="13">
        <f>MIN(F33,N(H33))</f>
        <v/>
      </c>
      <c r="J33" s="14">
        <f>ROUND(G33/F33*I33,2)</f>
        <v/>
      </c>
      <c r="K33" s="13">
        <f>F33-I33</f>
        <v/>
      </c>
      <c r="L33" s="13">
        <f>N(H33)-I33</f>
        <v/>
      </c>
      <c r="M33" s="15" t="inlineStr">
        <is>
          <t>КП на 11 шт. распределён по позициям ВДЦ: А5, Б5, В1</t>
        </is>
      </c>
    </row>
    <row r="34">
      <c r="A34" s="3" t="n">
        <v>29</v>
      </c>
      <c r="B34" s="3" t="inlineStr">
        <is>
          <t>Д</t>
        </is>
      </c>
      <c r="C34" s="3" t="inlineStr">
        <is>
          <t>Вн-6</t>
        </is>
      </c>
      <c r="D34" s="3" t="inlineStr">
        <is>
          <t>4200×4820</t>
        </is>
      </c>
      <c r="E34" s="3" t="n">
        <v>116</v>
      </c>
      <c r="F34" s="3" t="n">
        <v>2</v>
      </c>
      <c r="G34" s="5">
        <f>4.2*4.82*2</f>
        <v/>
      </c>
      <c r="H34" s="3" t="n">
        <v>2</v>
      </c>
      <c r="I34" s="3">
        <f>MIN(F34,N(H34))</f>
        <v/>
      </c>
      <c r="J34" s="5">
        <f>ROUND(G34/F34*I34,2)</f>
        <v/>
      </c>
      <c r="K34" s="3">
        <f>F34-I34</f>
        <v/>
      </c>
      <c r="L34" s="3">
        <f>N(H34)-I34</f>
        <v/>
      </c>
      <c r="M34" s="6" t="inlineStr">
        <is>
          <t>совпадает</t>
        </is>
      </c>
    </row>
    <row r="35">
      <c r="A35" s="3" t="n">
        <v>30</v>
      </c>
      <c r="B35" s="3" t="inlineStr">
        <is>
          <t>Д</t>
        </is>
      </c>
      <c r="C35" s="3" t="inlineStr">
        <is>
          <t>Вн-7</t>
        </is>
      </c>
      <c r="D35" s="3" t="inlineStr">
        <is>
          <t>3020×4820</t>
        </is>
      </c>
      <c r="E35" s="3" t="n">
        <v>118</v>
      </c>
      <c r="F35" s="3" t="n">
        <v>1</v>
      </c>
      <c r="G35" s="5">
        <f>3.02*4.82*1</f>
        <v/>
      </c>
      <c r="H35" s="3" t="n">
        <v>1</v>
      </c>
      <c r="I35" s="3">
        <f>MIN(F35,N(H35))</f>
        <v/>
      </c>
      <c r="J35" s="5">
        <f>ROUND(G35/F35*I35,2)</f>
        <v/>
      </c>
      <c r="K35" s="3">
        <f>F35-I35</f>
        <v/>
      </c>
      <c r="L35" s="3">
        <f>N(H35)-I35</f>
        <v/>
      </c>
      <c r="M35" s="6" t="inlineStr">
        <is>
          <t>совпадает</t>
        </is>
      </c>
    </row>
    <row r="36">
      <c r="A36" s="3" t="n">
        <v>31</v>
      </c>
      <c r="B36" s="3" t="inlineStr">
        <is>
          <t>Д</t>
        </is>
      </c>
      <c r="C36" s="3" t="inlineStr">
        <is>
          <t>Вн-9</t>
        </is>
      </c>
      <c r="D36" s="3" t="inlineStr">
        <is>
          <t>3870×4820</t>
        </is>
      </c>
      <c r="E36" s="3" t="n">
        <v>120</v>
      </c>
      <c r="F36" s="3" t="n">
        <v>1</v>
      </c>
      <c r="G36" s="5">
        <f>3.87*4.82</f>
        <v/>
      </c>
      <c r="H36" s="3" t="n">
        <v>1</v>
      </c>
      <c r="I36" s="3">
        <f>MIN(F36,N(H36))</f>
        <v/>
      </c>
      <c r="J36" s="5">
        <f>ROUND(G36/F36*I36,2)</f>
        <v/>
      </c>
      <c r="K36" s="3">
        <f>F36-I36</f>
        <v/>
      </c>
      <c r="L36" s="3">
        <f>N(H36)-I36</f>
        <v/>
      </c>
      <c r="M36" s="6" t="inlineStr">
        <is>
          <t>совпадает</t>
        </is>
      </c>
    </row>
    <row r="37">
      <c r="A37" s="3" t="n">
        <v>32</v>
      </c>
      <c r="B37" s="3" t="inlineStr">
        <is>
          <t>Д</t>
        </is>
      </c>
      <c r="C37" s="3" t="inlineStr">
        <is>
          <t>Вн-17</t>
        </is>
      </c>
      <c r="D37" s="3" t="inlineStr">
        <is>
          <t>4200×4820</t>
        </is>
      </c>
      <c r="E37" s="3" t="n">
        <v>122</v>
      </c>
      <c r="F37" s="3" t="n">
        <v>1</v>
      </c>
      <c r="G37" s="5">
        <f>4.2*4.82</f>
        <v/>
      </c>
      <c r="H37" s="3" t="n">
        <v>1</v>
      </c>
      <c r="I37" s="3">
        <f>MIN(F37,N(H37))</f>
        <v/>
      </c>
      <c r="J37" s="5">
        <f>ROUND(G37/F37*I37,2)</f>
        <v/>
      </c>
      <c r="K37" s="3">
        <f>F37-I37</f>
        <v/>
      </c>
      <c r="L37" s="3">
        <f>N(H37)-I37</f>
        <v/>
      </c>
      <c r="M37" s="6" t="inlineStr">
        <is>
          <t>совпадает</t>
        </is>
      </c>
    </row>
    <row r="38">
      <c r="A38" s="13" t="n">
        <v>33</v>
      </c>
      <c r="B38" s="13" t="inlineStr">
        <is>
          <t>Ж</t>
        </is>
      </c>
      <c r="C38" s="13" t="inlineStr">
        <is>
          <t>Вн-1</t>
        </is>
      </c>
      <c r="D38" s="13" t="inlineStr">
        <is>
          <t>4750×3870</t>
        </is>
      </c>
      <c r="E38" s="13" t="n">
        <v>136</v>
      </c>
      <c r="F38" s="13" t="n">
        <v>1</v>
      </c>
      <c r="G38" s="14">
        <f>4.75*3.87</f>
        <v/>
      </c>
      <c r="H38" s="13" t="n"/>
      <c r="I38" s="13">
        <f>MIN(F38,N(H38))</f>
        <v/>
      </c>
      <c r="J38" s="14">
        <f>ROUND(G38/F38*I38,2)</f>
        <v/>
      </c>
      <c r="K38" s="13">
        <f>F38-I38</f>
        <v/>
      </c>
      <c r="L38" s="13">
        <f>N(H38)-I38</f>
        <v/>
      </c>
      <c r="M38" s="15" t="inlineStr">
        <is>
          <t>нет в КП</t>
        </is>
      </c>
    </row>
    <row r="39">
      <c r="A39" s="13" t="n">
        <v>34</v>
      </c>
      <c r="B39" s="13" t="inlineStr">
        <is>
          <t>Ж</t>
        </is>
      </c>
      <c r="C39" s="13" t="inlineStr">
        <is>
          <t>Вн-2</t>
        </is>
      </c>
      <c r="D39" s="13" t="inlineStr">
        <is>
          <t>4750×3870</t>
        </is>
      </c>
      <c r="E39" s="13" t="n">
        <v>138</v>
      </c>
      <c r="F39" s="13" t="n">
        <v>1</v>
      </c>
      <c r="G39" s="14">
        <f>4.75*3.87</f>
        <v/>
      </c>
      <c r="H39" s="13" t="n"/>
      <c r="I39" s="13">
        <f>MIN(F39,N(H39))</f>
        <v/>
      </c>
      <c r="J39" s="14">
        <f>ROUND(G39/F39*I39,2)</f>
        <v/>
      </c>
      <c r="K39" s="13">
        <f>F39-I39</f>
        <v/>
      </c>
      <c r="L39" s="13">
        <f>N(H39)-I39</f>
        <v/>
      </c>
      <c r="M39" s="15" t="inlineStr">
        <is>
          <t>нет в КП</t>
        </is>
      </c>
    </row>
    <row r="40">
      <c r="A40" s="13" t="n">
        <v>35</v>
      </c>
      <c r="B40" s="13" t="inlineStr">
        <is>
          <t>Ж</t>
        </is>
      </c>
      <c r="C40" s="13" t="inlineStr">
        <is>
          <t>Вн-3</t>
        </is>
      </c>
      <c r="D40" s="13" t="inlineStr">
        <is>
          <t>6100×3870</t>
        </is>
      </c>
      <c r="E40" s="13" t="n">
        <v>140</v>
      </c>
      <c r="F40" s="13" t="n">
        <v>1</v>
      </c>
      <c r="G40" s="14">
        <f>6.1*3.87</f>
        <v/>
      </c>
      <c r="H40" s="13" t="n"/>
      <c r="I40" s="13">
        <f>MIN(F40,N(H40))</f>
        <v/>
      </c>
      <c r="J40" s="14">
        <f>ROUND(G40/F40*I40,2)</f>
        <v/>
      </c>
      <c r="K40" s="13">
        <f>F40-I40</f>
        <v/>
      </c>
      <c r="L40" s="13">
        <f>N(H40)-I40</f>
        <v/>
      </c>
      <c r="M40" s="15" t="inlineStr">
        <is>
          <t>нет в КП</t>
        </is>
      </c>
    </row>
    <row r="41">
      <c r="A41" s="13" t="n">
        <v>36</v>
      </c>
      <c r="B41" s="13" t="inlineStr">
        <is>
          <t>Ж</t>
        </is>
      </c>
      <c r="C41" s="13" t="inlineStr">
        <is>
          <t>Вн-4</t>
        </is>
      </c>
      <c r="D41" s="13" t="inlineStr">
        <is>
          <t>5400×3470</t>
        </is>
      </c>
      <c r="E41" s="13" t="n">
        <v>142</v>
      </c>
      <c r="F41" s="13" t="n">
        <v>1</v>
      </c>
      <c r="G41" s="14">
        <f>5.4*3.47*1</f>
        <v/>
      </c>
      <c r="H41" s="13" t="n"/>
      <c r="I41" s="13">
        <f>MIN(F41,N(H41))</f>
        <v/>
      </c>
      <c r="J41" s="14">
        <f>ROUND(G41/F41*I41,2)</f>
        <v/>
      </c>
      <c r="K41" s="13">
        <f>F41-I41</f>
        <v/>
      </c>
      <c r="L41" s="13">
        <f>N(H41)-I41</f>
        <v/>
      </c>
      <c r="M41" s="15" t="inlineStr">
        <is>
          <t>нет в КП</t>
        </is>
      </c>
    </row>
    <row r="42">
      <c r="A42" s="13" t="n">
        <v>37</v>
      </c>
      <c r="B42" s="13" t="inlineStr">
        <is>
          <t>Ж</t>
        </is>
      </c>
      <c r="C42" s="13" t="inlineStr">
        <is>
          <t>Вн-5</t>
        </is>
      </c>
      <c r="D42" s="13" t="inlineStr">
        <is>
          <t>7800×3470</t>
        </is>
      </c>
      <c r="E42" s="13" t="n">
        <v>144</v>
      </c>
      <c r="F42" s="13" t="n">
        <v>1</v>
      </c>
      <c r="G42" s="14">
        <f>7.8*3.4</f>
        <v/>
      </c>
      <c r="H42" s="13" t="n"/>
      <c r="I42" s="13">
        <f>MIN(F42,N(H42))</f>
        <v/>
      </c>
      <c r="J42" s="14">
        <f>ROUND(G42/F42*I42,2)</f>
        <v/>
      </c>
      <c r="K42" s="13">
        <f>F42-I42</f>
        <v/>
      </c>
      <c r="L42" s="13">
        <f>N(H42)-I42</f>
        <v/>
      </c>
      <c r="M42" s="15" t="inlineStr">
        <is>
          <t>в ВДЦ площадь =7.8*3.4 (26,52), а в названии 7800х3470 (27,07)</t>
        </is>
      </c>
    </row>
    <row r="43">
      <c r="A43" s="7" t="n"/>
      <c r="B43" s="7" t="n"/>
      <c r="C43" s="8" t="inlineStr">
        <is>
          <t>Итого витражи</t>
        </is>
      </c>
      <c r="D43" s="7" t="n"/>
      <c r="E43" s="7" t="n"/>
      <c r="F43" s="8">
        <f>SUM(F6:F42)</f>
        <v/>
      </c>
      <c r="G43" s="10">
        <f>SUM(G6:G42)</f>
        <v/>
      </c>
      <c r="H43" s="8">
        <f>SUM(H6:H42)</f>
        <v/>
      </c>
      <c r="I43" s="8">
        <f>SUM(I6:I42)</f>
        <v/>
      </c>
      <c r="J43" s="10">
        <f>SUM(J6:J42)</f>
        <v/>
      </c>
      <c r="K43" s="8">
        <f>SUM(K6:K42)</f>
        <v/>
      </c>
      <c r="L43" s="8">
        <f>SUM(L6:L42)</f>
        <v/>
      </c>
      <c r="M43" s="11" t="n"/>
    </row>
    <row r="45">
      <c r="A45" s="12" t="inlineStr">
        <is>
          <t>2. Двери (КП от 13.04.2026: в КП указаны литер и витраж; марка ВДЦ — по типу и размеру двери из КП)</t>
        </is>
      </c>
    </row>
    <row r="46" ht="62" customHeight="1">
      <c r="A46" s="2" t="inlineStr">
        <is>
          <t>№</t>
        </is>
      </c>
      <c r="B46" s="2" t="inlineStr">
        <is>
          <t>Литер</t>
        </is>
      </c>
      <c r="C46" s="2" t="inlineStr">
        <is>
          <t>Марка</t>
        </is>
      </c>
      <c r="D46" s="2" t="inlineStr">
        <is>
          <t>Размер по ВДЦ, мм</t>
        </is>
      </c>
      <c r="E46" s="2" t="inlineStr">
        <is>
          <t>Строка ВДЦ</t>
        </is>
      </c>
      <c r="F46" s="2" t="inlineStr">
        <is>
          <t>По ВДЦ, шт</t>
        </is>
      </c>
      <c r="G46" s="2" t="inlineStr">
        <is>
          <t>По ВДЦ, м²</t>
        </is>
      </c>
      <c r="H46" s="2" t="inlineStr">
        <is>
          <t>По КП, шт</t>
        </is>
      </c>
      <c r="I46" s="2" t="inlineStr">
        <is>
          <t>К закрытию, шт</t>
        </is>
      </c>
      <c r="J46" s="2" t="inlineStr">
        <is>
          <t>К закрытию, м²</t>
        </is>
      </c>
      <c r="K46" s="2" t="inlineStr">
        <is>
          <t>Не закрыто по ВДЦ, шт</t>
        </is>
      </c>
      <c r="L46" s="2" t="inlineStr">
        <is>
          <t>Сверх ВДЦ, шт</t>
        </is>
      </c>
      <c r="M46" s="2" t="inlineStr">
        <is>
          <t>Примечание</t>
        </is>
      </c>
    </row>
    <row r="47">
      <c r="A47" s="13" t="n">
        <v>1</v>
      </c>
      <c r="B47" s="13" t="inlineStr">
        <is>
          <t>А</t>
        </is>
      </c>
      <c r="C47" s="13" t="inlineStr">
        <is>
          <t>Д17* (П)</t>
        </is>
      </c>
      <c r="D47" s="13" t="inlineStr">
        <is>
          <t>2410×1300</t>
        </is>
      </c>
      <c r="E47" s="13" t="n">
        <v>33</v>
      </c>
      <c r="F47" s="13" t="n">
        <v>6</v>
      </c>
      <c r="G47" s="14">
        <f>2.41*1.3*6</f>
        <v/>
      </c>
      <c r="H47" s="13" t="n">
        <v>4</v>
      </c>
      <c r="I47" s="13" t="n">
        <v>4</v>
      </c>
      <c r="J47" s="14">
        <f>ROUND(G47/F47*I47,2)</f>
        <v/>
      </c>
      <c r="K47" s="13">
        <f>F47-I47</f>
        <v/>
      </c>
      <c r="L47" s="13">
        <f>MAX(0,N(H47)-F47)</f>
        <v/>
      </c>
      <c r="M47" s="15" t="inlineStr">
        <is>
          <t>КП: Вн-6 — 3, Вн-14 — 1</t>
        </is>
      </c>
    </row>
    <row r="48">
      <c r="A48" s="13" t="n">
        <v>2</v>
      </c>
      <c r="B48" s="13" t="inlineStr">
        <is>
          <t>А</t>
        </is>
      </c>
      <c r="C48" s="13" t="inlineStr">
        <is>
          <t>Д18 (П)</t>
        </is>
      </c>
      <c r="D48" s="13" t="inlineStr">
        <is>
          <t>2100×1000</t>
        </is>
      </c>
      <c r="E48" s="13" t="n">
        <v>35</v>
      </c>
      <c r="F48" s="13" t="n">
        <v>1</v>
      </c>
      <c r="G48" s="14">
        <f>2.1*1</f>
        <v/>
      </c>
      <c r="H48" s="13" t="n"/>
      <c r="I48" s="13" t="n">
        <v>0</v>
      </c>
      <c r="J48" s="14">
        <f>ROUND(G48/F48*I48,2)</f>
        <v/>
      </c>
      <c r="K48" s="13">
        <f>F48-I48</f>
        <v/>
      </c>
      <c r="L48" s="13">
        <f>MAX(0,N(H48)-F48)</f>
        <v/>
      </c>
      <c r="M48" s="15" t="inlineStr">
        <is>
          <t>нет в КП</t>
        </is>
      </c>
    </row>
    <row r="49">
      <c r="A49" s="13" t="n">
        <v>3</v>
      </c>
      <c r="B49" s="13" t="inlineStr">
        <is>
          <t>А</t>
        </is>
      </c>
      <c r="C49" s="13" t="inlineStr">
        <is>
          <t>Д21 (П)</t>
        </is>
      </c>
      <c r="D49" s="13" t="inlineStr">
        <is>
          <t>2100×1200</t>
        </is>
      </c>
      <c r="E49" s="13" t="n">
        <v>37</v>
      </c>
      <c r="F49" s="13" t="n">
        <v>1</v>
      </c>
      <c r="G49" s="14">
        <f>2.1*1.2</f>
        <v/>
      </c>
      <c r="H49" s="13" t="n"/>
      <c r="I49" s="13" t="n">
        <v>0</v>
      </c>
      <c r="J49" s="14">
        <f>ROUND(G49/F49*I49,2)</f>
        <v/>
      </c>
      <c r="K49" s="13">
        <f>F49-I49</f>
        <v/>
      </c>
      <c r="L49" s="13">
        <f>MAX(0,N(H49)-F49)</f>
        <v/>
      </c>
      <c r="M49" s="15" t="inlineStr">
        <is>
          <t>нет в КП</t>
        </is>
      </c>
    </row>
    <row r="50">
      <c r="A50" s="3" t="n">
        <v>4</v>
      </c>
      <c r="B50" s="3" t="inlineStr">
        <is>
          <t>А</t>
        </is>
      </c>
      <c r="C50" s="3" t="inlineStr">
        <is>
          <t>Д22 (П)</t>
        </is>
      </c>
      <c r="D50" s="3" t="inlineStr">
        <is>
          <t>2100×1300</t>
        </is>
      </c>
      <c r="E50" s="3" t="n">
        <v>39</v>
      </c>
      <c r="F50" s="3" t="n">
        <v>1</v>
      </c>
      <c r="G50" s="5">
        <f>2.1*1.3</f>
        <v/>
      </c>
      <c r="H50" s="3" t="n">
        <v>5</v>
      </c>
      <c r="I50" s="3" t="n">
        <v>1</v>
      </c>
      <c r="J50" s="5">
        <f>ROUND(G50/F50*I50,2)</f>
        <v/>
      </c>
      <c r="K50" s="3">
        <f>F50-I50</f>
        <v/>
      </c>
      <c r="L50" s="3">
        <f>MAX(0,N(H50)-F50)</f>
        <v/>
      </c>
      <c r="M50" s="6" t="inlineStr">
        <is>
          <t>КП: Вн-22 — 5; сверх ВДЦ 4 шт.; на чертеже у Вн-22 стоит марка Д-17*, по размеру КП (1336×2193) это Д22</t>
        </is>
      </c>
    </row>
    <row r="51">
      <c r="A51" s="13" t="n">
        <v>5</v>
      </c>
      <c r="B51" s="13" t="inlineStr">
        <is>
          <t>Б</t>
        </is>
      </c>
      <c r="C51" s="13" t="inlineStr">
        <is>
          <t>Д17* (П)</t>
        </is>
      </c>
      <c r="D51" s="13" t="inlineStr">
        <is>
          <t>2410×1300</t>
        </is>
      </c>
      <c r="E51" s="13" t="n">
        <v>57</v>
      </c>
      <c r="F51" s="13" t="n">
        <v>6</v>
      </c>
      <c r="G51" s="14">
        <f>2.41*1.3*6</f>
        <v/>
      </c>
      <c r="H51" s="13" t="n">
        <v>4</v>
      </c>
      <c r="I51" s="13" t="n">
        <v>4</v>
      </c>
      <c r="J51" s="14">
        <f>ROUND(G51/F51*I51,2)</f>
        <v/>
      </c>
      <c r="K51" s="13">
        <f>F51-I51</f>
        <v/>
      </c>
      <c r="L51" s="13">
        <f>MAX(0,N(H51)-F51)</f>
        <v/>
      </c>
      <c r="M51" s="15" t="inlineStr">
        <is>
          <t>КП: Вн-6 — 3, Вн-18 — 1</t>
        </is>
      </c>
    </row>
    <row r="52">
      <c r="A52" s="13" t="n">
        <v>6</v>
      </c>
      <c r="B52" s="13" t="inlineStr">
        <is>
          <t>Б</t>
        </is>
      </c>
      <c r="C52" s="13" t="inlineStr">
        <is>
          <t>Д18 (П)</t>
        </is>
      </c>
      <c r="D52" s="13" t="inlineStr">
        <is>
          <t>2100×1000</t>
        </is>
      </c>
      <c r="E52" s="13" t="n">
        <v>59</v>
      </c>
      <c r="F52" s="13" t="n">
        <v>1</v>
      </c>
      <c r="G52" s="14">
        <f>2.1*1</f>
        <v/>
      </c>
      <c r="H52" s="13" t="n"/>
      <c r="I52" s="13" t="n">
        <v>0</v>
      </c>
      <c r="J52" s="14">
        <f>ROUND(G52/F52*I52,2)</f>
        <v/>
      </c>
      <c r="K52" s="13">
        <f>F52-I52</f>
        <v/>
      </c>
      <c r="L52" s="13">
        <f>MAX(0,N(H52)-F52)</f>
        <v/>
      </c>
      <c r="M52" s="15" t="inlineStr">
        <is>
          <t>нет в КП</t>
        </is>
      </c>
    </row>
    <row r="53">
      <c r="A53" s="13" t="n">
        <v>7</v>
      </c>
      <c r="B53" s="13" t="inlineStr">
        <is>
          <t>Б</t>
        </is>
      </c>
      <c r="C53" s="13" t="inlineStr">
        <is>
          <t>Д21 (П)</t>
        </is>
      </c>
      <c r="D53" s="13" t="inlineStr">
        <is>
          <t>2100×1200</t>
        </is>
      </c>
      <c r="E53" s="13" t="n">
        <v>61</v>
      </c>
      <c r="F53" s="13" t="n">
        <v>1</v>
      </c>
      <c r="G53" s="14">
        <f>2.1*1.2</f>
        <v/>
      </c>
      <c r="H53" s="13" t="n"/>
      <c r="I53" s="13" t="n">
        <v>0</v>
      </c>
      <c r="J53" s="14">
        <f>ROUND(G53/F53*I53,2)</f>
        <v/>
      </c>
      <c r="K53" s="13">
        <f>F53-I53</f>
        <v/>
      </c>
      <c r="L53" s="13">
        <f>MAX(0,N(H53)-F53)</f>
        <v/>
      </c>
      <c r="M53" s="15" t="inlineStr">
        <is>
          <t>нет в КП</t>
        </is>
      </c>
    </row>
    <row r="54">
      <c r="A54" s="3" t="n">
        <v>8</v>
      </c>
      <c r="B54" s="3" t="inlineStr">
        <is>
          <t>Б</t>
        </is>
      </c>
      <c r="C54" s="3" t="inlineStr">
        <is>
          <t>Д22 (П)</t>
        </is>
      </c>
      <c r="D54" s="3" t="inlineStr">
        <is>
          <t>2100×1300</t>
        </is>
      </c>
      <c r="E54" s="3" t="n">
        <v>63</v>
      </c>
      <c r="F54" s="3" t="n">
        <v>1</v>
      </c>
      <c r="G54" s="5">
        <f>2.1*1.3</f>
        <v/>
      </c>
      <c r="H54" s="3" t="n">
        <v>5</v>
      </c>
      <c r="I54" s="3" t="n">
        <v>1</v>
      </c>
      <c r="J54" s="5">
        <f>ROUND(G54/F54*I54,2)</f>
        <v/>
      </c>
      <c r="K54" s="3">
        <f>F54-I54</f>
        <v/>
      </c>
      <c r="L54" s="3">
        <f>MAX(0,N(H54)-F54)</f>
        <v/>
      </c>
      <c r="M54" s="6" t="inlineStr">
        <is>
          <t>КП: Вн-22 — 5; сверх ВДЦ 4 шт.; на чертеже у Вн-22 стоит марка Д-17*, по размеру КП (1336×2193) это Д22</t>
        </is>
      </c>
    </row>
    <row r="55">
      <c r="A55" s="3" t="n">
        <v>9</v>
      </c>
      <c r="B55" s="3" t="inlineStr">
        <is>
          <t>В</t>
        </is>
      </c>
      <c r="C55" s="3" t="inlineStr">
        <is>
          <t>Д17* (П)</t>
        </is>
      </c>
      <c r="D55" s="3" t="inlineStr">
        <is>
          <t>2410×1300</t>
        </is>
      </c>
      <c r="E55" s="3" t="n">
        <v>77</v>
      </c>
      <c r="F55" s="3" t="n">
        <v>3</v>
      </c>
      <c r="G55" s="5">
        <f>2.41*1.3*3</f>
        <v/>
      </c>
      <c r="H55" s="3" t="n">
        <v>3</v>
      </c>
      <c r="I55" s="3" t="n">
        <v>3</v>
      </c>
      <c r="J55" s="5">
        <f>ROUND(G55/F55*I55,2)</f>
        <v/>
      </c>
      <c r="K55" s="3">
        <f>F55-I55</f>
        <v/>
      </c>
      <c r="L55" s="3">
        <f>MAX(0,N(H55)-F55)</f>
        <v/>
      </c>
      <c r="M55" s="6" t="inlineStr">
        <is>
          <t>КП: Вн-6 — 1, Вн-19 — 2</t>
        </is>
      </c>
    </row>
    <row r="56">
      <c r="A56" s="13" t="n">
        <v>10</v>
      </c>
      <c r="B56" s="13" t="inlineStr">
        <is>
          <t>В</t>
        </is>
      </c>
      <c r="C56" s="13" t="inlineStr">
        <is>
          <t>Д18 (П)</t>
        </is>
      </c>
      <c r="D56" s="13" t="inlineStr">
        <is>
          <t>2100×1000</t>
        </is>
      </c>
      <c r="E56" s="13" t="n">
        <v>79</v>
      </c>
      <c r="F56" s="13" t="n">
        <v>1</v>
      </c>
      <c r="G56" s="14">
        <f>2.1*1</f>
        <v/>
      </c>
      <c r="H56" s="13" t="n"/>
      <c r="I56" s="13" t="n">
        <v>0</v>
      </c>
      <c r="J56" s="14">
        <f>ROUND(G56/F56*I56,2)</f>
        <v/>
      </c>
      <c r="K56" s="13">
        <f>F56-I56</f>
        <v/>
      </c>
      <c r="L56" s="13">
        <f>MAX(0,N(H56)-F56)</f>
        <v/>
      </c>
      <c r="M56" s="15" t="inlineStr">
        <is>
          <t>нет в КП</t>
        </is>
      </c>
    </row>
    <row r="57">
      <c r="A57" s="3" t="n">
        <v>11</v>
      </c>
      <c r="B57" s="3" t="inlineStr">
        <is>
          <t>В</t>
        </is>
      </c>
      <c r="C57" s="3" t="inlineStr">
        <is>
          <t>Д35 (Л)</t>
        </is>
      </c>
      <c r="D57" s="3" t="inlineStr">
        <is>
          <t>2410×1300</t>
        </is>
      </c>
      <c r="E57" s="3" t="n">
        <v>81</v>
      </c>
      <c r="F57" s="3" t="n">
        <v>1</v>
      </c>
      <c r="G57" s="5">
        <f>2.41*1.3</f>
        <v/>
      </c>
      <c r="H57" s="3" t="n">
        <v>1</v>
      </c>
      <c r="I57" s="3" t="n">
        <v>1</v>
      </c>
      <c r="J57" s="5">
        <f>ROUND(G57/F57*I57,2)</f>
        <v/>
      </c>
      <c r="K57" s="3">
        <f>F57-I57</f>
        <v/>
      </c>
      <c r="L57" s="3">
        <f>MAX(0,N(H57)-F57)</f>
        <v/>
      </c>
      <c r="M57" s="6" t="inlineStr">
        <is>
          <t>КП: Вн-16 — 1</t>
        </is>
      </c>
    </row>
    <row r="58">
      <c r="A58" s="13" t="n">
        <v>12</v>
      </c>
      <c r="B58" s="13" t="inlineStr">
        <is>
          <t>В</t>
        </is>
      </c>
      <c r="C58" s="13" t="inlineStr">
        <is>
          <t>Д36 (Л)</t>
        </is>
      </c>
      <c r="D58" s="13" t="inlineStr">
        <is>
          <t>2100×1400</t>
        </is>
      </c>
      <c r="E58" s="13" t="n">
        <v>83</v>
      </c>
      <c r="F58" s="13" t="n">
        <v>1</v>
      </c>
      <c r="G58" s="14">
        <f>2.1*1.4</f>
        <v/>
      </c>
      <c r="H58" s="13" t="n"/>
      <c r="I58" s="13" t="n">
        <v>0</v>
      </c>
      <c r="J58" s="14">
        <f>ROUND(G58/F58*I58,2)</f>
        <v/>
      </c>
      <c r="K58" s="13">
        <f>F58-I58</f>
        <v/>
      </c>
      <c r="L58" s="13">
        <f>MAX(0,N(H58)-F58)</f>
        <v/>
      </c>
      <c r="M58" s="15" t="inlineStr">
        <is>
          <t>нет в КП</t>
        </is>
      </c>
    </row>
    <row r="59">
      <c r="A59" s="13" t="n">
        <v>13</v>
      </c>
      <c r="B59" s="13" t="inlineStr">
        <is>
          <t>В</t>
        </is>
      </c>
      <c r="C59" s="13" t="inlineStr">
        <is>
          <t>Д37 (Л)</t>
        </is>
      </c>
      <c r="D59" s="13" t="inlineStr">
        <is>
          <t>2100×1400</t>
        </is>
      </c>
      <c r="E59" s="13" t="n">
        <v>85</v>
      </c>
      <c r="F59" s="13" t="n">
        <v>1</v>
      </c>
      <c r="G59" s="14">
        <f>2.1*1.4</f>
        <v/>
      </c>
      <c r="H59" s="13" t="n"/>
      <c r="I59" s="13" t="n">
        <v>0</v>
      </c>
      <c r="J59" s="14">
        <f>ROUND(G59/F59*I59,2)</f>
        <v/>
      </c>
      <c r="K59" s="13">
        <f>F59-I59</f>
        <v/>
      </c>
      <c r="L59" s="13">
        <f>MAX(0,N(H59)-F59)</f>
        <v/>
      </c>
      <c r="M59" s="15" t="inlineStr">
        <is>
          <t>нет в КП</t>
        </is>
      </c>
    </row>
    <row r="60">
      <c r="A60" s="13" t="n">
        <v>14</v>
      </c>
      <c r="B60" s="13" t="inlineStr">
        <is>
          <t>Г</t>
        </is>
      </c>
      <c r="C60" s="13" t="inlineStr">
        <is>
          <t>Д17* (П)</t>
        </is>
      </c>
      <c r="D60" s="13" t="inlineStr">
        <is>
          <t>2410×1300</t>
        </is>
      </c>
      <c r="E60" s="13" t="n">
        <v>105</v>
      </c>
      <c r="F60" s="13" t="n">
        <v>3</v>
      </c>
      <c r="G60" s="14">
        <f>2.41*1.3*3</f>
        <v/>
      </c>
      <c r="H60" s="13" t="n"/>
      <c r="I60" s="13" t="n">
        <v>0</v>
      </c>
      <c r="J60" s="14">
        <f>ROUND(G60/F60*I60,2)</f>
        <v/>
      </c>
      <c r="K60" s="13">
        <f>F60-I60</f>
        <v/>
      </c>
      <c r="L60" s="13">
        <f>MAX(0,N(H60)-F60)</f>
        <v/>
      </c>
      <c r="M60" s="15" t="inlineStr">
        <is>
          <t>нет в КП</t>
        </is>
      </c>
    </row>
    <row r="61">
      <c r="A61" s="13" t="n">
        <v>15</v>
      </c>
      <c r="B61" s="13" t="inlineStr">
        <is>
          <t>Г</t>
        </is>
      </c>
      <c r="C61" s="13" t="inlineStr">
        <is>
          <t>Д18 (П)</t>
        </is>
      </c>
      <c r="D61" s="13" t="inlineStr">
        <is>
          <t>2100×1000</t>
        </is>
      </c>
      <c r="E61" s="13" t="n">
        <v>107</v>
      </c>
      <c r="F61" s="13" t="n">
        <v>1</v>
      </c>
      <c r="G61" s="14">
        <f>2.1*1</f>
        <v/>
      </c>
      <c r="H61" s="13" t="n"/>
      <c r="I61" s="13" t="n">
        <v>0</v>
      </c>
      <c r="J61" s="14">
        <f>ROUND(G61/F61*I61,2)</f>
        <v/>
      </c>
      <c r="K61" s="13">
        <f>F61-I61</f>
        <v/>
      </c>
      <c r="L61" s="13">
        <f>MAX(0,N(H61)-F61)</f>
        <v/>
      </c>
      <c r="M61" s="15" t="inlineStr">
        <is>
          <t>нет в КП</t>
        </is>
      </c>
    </row>
    <row r="62">
      <c r="A62" s="13" t="n">
        <v>16</v>
      </c>
      <c r="B62" s="13" t="inlineStr">
        <is>
          <t>Г</t>
        </is>
      </c>
      <c r="C62" s="13" t="inlineStr">
        <is>
          <t>Д22 (П)</t>
        </is>
      </c>
      <c r="D62" s="13" t="inlineStr">
        <is>
          <t>2100×1300</t>
        </is>
      </c>
      <c r="E62" s="13" t="n">
        <v>109</v>
      </c>
      <c r="F62" s="13" t="n">
        <v>1</v>
      </c>
      <c r="G62" s="14">
        <f>2.1*1.3</f>
        <v/>
      </c>
      <c r="H62" s="13" t="n"/>
      <c r="I62" s="13" t="n">
        <v>0</v>
      </c>
      <c r="J62" s="14">
        <f>ROUND(G62/F62*I62,2)</f>
        <v/>
      </c>
      <c r="K62" s="13">
        <f>F62-I62</f>
        <v/>
      </c>
      <c r="L62" s="13">
        <f>MAX(0,N(H62)-F62)</f>
        <v/>
      </c>
      <c r="M62" s="15" t="inlineStr">
        <is>
          <t>нет в КП</t>
        </is>
      </c>
    </row>
    <row r="63">
      <c r="A63" s="13" t="n">
        <v>17</v>
      </c>
      <c r="B63" s="13" t="inlineStr">
        <is>
          <t>Г</t>
        </is>
      </c>
      <c r="C63" s="13" t="inlineStr">
        <is>
          <t>Д35 (Л)</t>
        </is>
      </c>
      <c r="D63" s="13" t="inlineStr">
        <is>
          <t>2410×1300</t>
        </is>
      </c>
      <c r="E63" s="13" t="n">
        <v>111</v>
      </c>
      <c r="F63" s="13" t="n">
        <v>3</v>
      </c>
      <c r="G63" s="14">
        <f>2.41*1.3*3</f>
        <v/>
      </c>
      <c r="H63" s="13" t="n"/>
      <c r="I63" s="13" t="n">
        <v>0</v>
      </c>
      <c r="J63" s="14">
        <f>ROUND(G63/F63*I63,2)</f>
        <v/>
      </c>
      <c r="K63" s="13">
        <f>F63-I63</f>
        <v/>
      </c>
      <c r="L63" s="13">
        <f>MAX(0,N(H63)-F63)</f>
        <v/>
      </c>
      <c r="M63" s="15" t="inlineStr">
        <is>
          <t>нет в КП</t>
        </is>
      </c>
    </row>
    <row r="64">
      <c r="A64" s="13" t="n">
        <v>18</v>
      </c>
      <c r="B64" s="13" t="inlineStr">
        <is>
          <t>Г</t>
        </is>
      </c>
      <c r="C64" s="13" t="inlineStr">
        <is>
          <t>Д37 (Л)</t>
        </is>
      </c>
      <c r="D64" s="13" t="inlineStr">
        <is>
          <t>2100×1400</t>
        </is>
      </c>
      <c r="E64" s="13" t="n">
        <v>113</v>
      </c>
      <c r="F64" s="13" t="n">
        <v>1</v>
      </c>
      <c r="G64" s="14">
        <f>2.1*1.4</f>
        <v/>
      </c>
      <c r="H64" s="13" t="n"/>
      <c r="I64" s="13" t="n">
        <v>0</v>
      </c>
      <c r="J64" s="14">
        <f>ROUND(G64/F64*I64,2)</f>
        <v/>
      </c>
      <c r="K64" s="13">
        <f>F64-I64</f>
        <v/>
      </c>
      <c r="L64" s="13">
        <f>MAX(0,N(H64)-F64)</f>
        <v/>
      </c>
      <c r="M64" s="15" t="inlineStr">
        <is>
          <t>нет в КП</t>
        </is>
      </c>
    </row>
    <row r="65">
      <c r="A65" s="13" t="n">
        <v>19</v>
      </c>
      <c r="B65" s="13" t="inlineStr">
        <is>
          <t>Д</t>
        </is>
      </c>
      <c r="C65" s="13" t="inlineStr">
        <is>
          <t>Д17* (П)</t>
        </is>
      </c>
      <c r="D65" s="13" t="inlineStr">
        <is>
          <t>2410×1300</t>
        </is>
      </c>
      <c r="E65" s="13" t="n">
        <v>125</v>
      </c>
      <c r="F65" s="13" t="n">
        <v>6</v>
      </c>
      <c r="G65" s="14">
        <f>2.41*1.3*6</f>
        <v/>
      </c>
      <c r="H65" s="13" t="n">
        <v>4</v>
      </c>
      <c r="I65" s="13" t="n">
        <v>4</v>
      </c>
      <c r="J65" s="14">
        <f>ROUND(G65/F65*I65,2)</f>
        <v/>
      </c>
      <c r="K65" s="13">
        <f>F65-I65</f>
        <v/>
      </c>
      <c r="L65" s="13">
        <f>MAX(0,N(H65)-F65)</f>
        <v/>
      </c>
      <c r="M65" s="15" t="inlineStr">
        <is>
          <t>КП: Вн-10 — 1, Вн-6 — 2, Вн-9 — 1</t>
        </is>
      </c>
    </row>
    <row r="66">
      <c r="A66" s="13" t="n">
        <v>20</v>
      </c>
      <c r="B66" s="13" t="inlineStr">
        <is>
          <t>Д</t>
        </is>
      </c>
      <c r="C66" s="13" t="inlineStr">
        <is>
          <t>Д18 (П)</t>
        </is>
      </c>
      <c r="D66" s="13" t="inlineStr">
        <is>
          <t>2100×1000</t>
        </is>
      </c>
      <c r="E66" s="13" t="n">
        <v>127</v>
      </c>
      <c r="F66" s="13" t="n">
        <v>1</v>
      </c>
      <c r="G66" s="14">
        <f>2.1*1</f>
        <v/>
      </c>
      <c r="H66" s="13" t="n"/>
      <c r="I66" s="13" t="n">
        <v>0</v>
      </c>
      <c r="J66" s="14">
        <f>ROUND(G66/F66*I66,2)</f>
        <v/>
      </c>
      <c r="K66" s="13">
        <f>F66-I66</f>
        <v/>
      </c>
      <c r="L66" s="13">
        <f>MAX(0,N(H66)-F66)</f>
        <v/>
      </c>
      <c r="M66" s="15" t="inlineStr">
        <is>
          <t>нет в КП</t>
        </is>
      </c>
    </row>
    <row r="67">
      <c r="A67" s="13" t="n">
        <v>21</v>
      </c>
      <c r="B67" s="13" t="inlineStr">
        <is>
          <t>Д</t>
        </is>
      </c>
      <c r="C67" s="13" t="inlineStr">
        <is>
          <t>Д19 (П)</t>
        </is>
      </c>
      <c r="D67" s="13" t="inlineStr">
        <is>
          <t>2100×1000</t>
        </is>
      </c>
      <c r="E67" s="13" t="n">
        <v>129</v>
      </c>
      <c r="F67" s="13" t="n">
        <v>1</v>
      </c>
      <c r="G67" s="14">
        <f>2.1*1</f>
        <v/>
      </c>
      <c r="H67" s="13" t="n"/>
      <c r="I67" s="13" t="n">
        <v>0</v>
      </c>
      <c r="J67" s="14">
        <f>ROUND(G67/F67*I67,2)</f>
        <v/>
      </c>
      <c r="K67" s="13">
        <f>F67-I67</f>
        <v/>
      </c>
      <c r="L67" s="13">
        <f>MAX(0,N(H67)-F67)</f>
        <v/>
      </c>
      <c r="M67" s="15" t="inlineStr">
        <is>
          <t>нет в КП</t>
        </is>
      </c>
    </row>
    <row r="68">
      <c r="A68" s="13" t="n">
        <v>22</v>
      </c>
      <c r="B68" s="13" t="inlineStr">
        <is>
          <t>Д</t>
        </is>
      </c>
      <c r="C68" s="13" t="inlineStr">
        <is>
          <t>Д22 (П)</t>
        </is>
      </c>
      <c r="D68" s="13" t="inlineStr">
        <is>
          <t>2100×1300</t>
        </is>
      </c>
      <c r="E68" s="13" t="n">
        <v>131</v>
      </c>
      <c r="F68" s="13" t="n">
        <v>1</v>
      </c>
      <c r="G68" s="14">
        <f>2.1*1.3</f>
        <v/>
      </c>
      <c r="H68" s="13" t="n"/>
      <c r="I68" s="13" t="n">
        <v>0</v>
      </c>
      <c r="J68" s="14">
        <f>ROUND(G68/F68*I68,2)</f>
        <v/>
      </c>
      <c r="K68" s="13">
        <f>F68-I68</f>
        <v/>
      </c>
      <c r="L68" s="13">
        <f>MAX(0,N(H68)-F68)</f>
        <v/>
      </c>
      <c r="M68" s="15" t="inlineStr">
        <is>
          <t>нет в КП</t>
        </is>
      </c>
    </row>
    <row r="69">
      <c r="A69" s="13" t="n">
        <v>23</v>
      </c>
      <c r="B69" s="13" t="inlineStr">
        <is>
          <t>Д</t>
        </is>
      </c>
      <c r="C69" s="13" t="inlineStr">
        <is>
          <t>Д35 (Л)</t>
        </is>
      </c>
      <c r="D69" s="13" t="inlineStr">
        <is>
          <t>2410×1300</t>
        </is>
      </c>
      <c r="E69" s="13" t="n">
        <v>133</v>
      </c>
      <c r="F69" s="13" t="n">
        <v>1</v>
      </c>
      <c r="G69" s="14">
        <f>2.41*1.3</f>
        <v/>
      </c>
      <c r="H69" s="13" t="n"/>
      <c r="I69" s="13" t="n">
        <v>0</v>
      </c>
      <c r="J69" s="14">
        <f>ROUND(G69/F69*I69,2)</f>
        <v/>
      </c>
      <c r="K69" s="13">
        <f>F69-I69</f>
        <v/>
      </c>
      <c r="L69" s="13">
        <f>MAX(0,N(H69)-F69)</f>
        <v/>
      </c>
      <c r="M69" s="15" t="inlineStr">
        <is>
          <t>нет в КП</t>
        </is>
      </c>
    </row>
    <row r="70">
      <c r="A70" s="13" t="n">
        <v>24</v>
      </c>
      <c r="B70" s="13" t="inlineStr">
        <is>
          <t>А</t>
        </is>
      </c>
      <c r="C70" s="13" t="inlineStr">
        <is>
          <t>Д35</t>
        </is>
      </c>
      <c r="D70" s="13" t="n"/>
      <c r="E70" s="13" t="n"/>
      <c r="F70" s="13" t="n"/>
      <c r="G70" s="14" t="n"/>
      <c r="H70" s="13" t="n">
        <v>1</v>
      </c>
      <c r="I70" s="13" t="n">
        <v>0</v>
      </c>
      <c r="J70" s="14" t="n">
        <v>0</v>
      </c>
      <c r="K70" s="13" t="n">
        <v>0</v>
      </c>
      <c r="L70" s="13">
        <f>H70</f>
        <v/>
      </c>
      <c r="M70" s="15" t="inlineStr">
        <is>
          <t>КП: Вн-15 — 1 шт. (однопольная) — в ВДЦ лит. А строки Д35 нет, закрыть нельзя</t>
        </is>
      </c>
    </row>
    <row r="71">
      <c r="A71" s="13" t="n">
        <v>25</v>
      </c>
      <c r="B71" s="13" t="inlineStr">
        <is>
          <t>Б</t>
        </is>
      </c>
      <c r="C71" s="13" t="inlineStr">
        <is>
          <t>Д35</t>
        </is>
      </c>
      <c r="D71" s="13" t="n"/>
      <c r="E71" s="13" t="n"/>
      <c r="F71" s="13" t="n"/>
      <c r="G71" s="14" t="n"/>
      <c r="H71" s="13" t="n">
        <v>1</v>
      </c>
      <c r="I71" s="13" t="n">
        <v>0</v>
      </c>
      <c r="J71" s="14" t="n">
        <v>0</v>
      </c>
      <c r="K71" s="13" t="n">
        <v>0</v>
      </c>
      <c r="L71" s="13">
        <f>H71</f>
        <v/>
      </c>
      <c r="M71" s="15" t="inlineStr">
        <is>
          <t>КП: Вн-15 — 1 шт. (однопольная) — в ВДЦ лит. Б строки Д35 нет, закрыть нельзя</t>
        </is>
      </c>
    </row>
    <row r="72">
      <c r="A72" s="13" t="n">
        <v>26</v>
      </c>
      <c r="B72" s="13" t="inlineStr">
        <is>
          <t>В</t>
        </is>
      </c>
      <c r="C72" s="13" t="inlineStr">
        <is>
          <t>Д22</t>
        </is>
      </c>
      <c r="D72" s="13" t="n"/>
      <c r="E72" s="13" t="n"/>
      <c r="F72" s="13" t="n"/>
      <c r="G72" s="14" t="n"/>
      <c r="H72" s="13" t="n">
        <v>1</v>
      </c>
      <c r="I72" s="13" t="n">
        <v>0</v>
      </c>
      <c r="J72" s="14" t="n">
        <v>0</v>
      </c>
      <c r="K72" s="13" t="n">
        <v>0</v>
      </c>
      <c r="L72" s="13">
        <f>H72</f>
        <v/>
      </c>
      <c r="M72" s="15" t="inlineStr">
        <is>
          <t>КП: Вн-22 — 1 шт. (двупольная) — в ВДЦ лит. В строки Д22 нет, закрыть нельзя</t>
        </is>
      </c>
    </row>
    <row r="73">
      <c r="A73" s="7" t="n"/>
      <c r="B73" s="7" t="n"/>
      <c r="C73" s="8" t="inlineStr">
        <is>
          <t>Итого двери</t>
        </is>
      </c>
      <c r="D73" s="7" t="n"/>
      <c r="E73" s="7" t="n"/>
      <c r="F73" s="8">
        <f>SUM(F47:F72)</f>
        <v/>
      </c>
      <c r="G73" s="10">
        <f>SUM(G47:G72)</f>
        <v/>
      </c>
      <c r="H73" s="8">
        <f>SUM(H47:H72)</f>
        <v/>
      </c>
      <c r="I73" s="8">
        <f>SUM(I47:I72)</f>
        <v/>
      </c>
      <c r="J73" s="10">
        <f>SUM(J47:J72)</f>
        <v/>
      </c>
      <c r="K73" s="8">
        <f>SUM(K47:K72)</f>
        <v/>
      </c>
      <c r="L73" s="8">
        <f>SUM(L47:L72)</f>
        <v/>
      </c>
      <c r="M73" s="11" t="n"/>
    </row>
    <row r="75">
      <c r="A75" s="16" t="n"/>
      <c r="B75" s="16" t="n"/>
      <c r="C75" s="17" t="inlineStr">
        <is>
          <t>ВСЕГО к закрытию (витражи + двери)</t>
        </is>
      </c>
      <c r="D75" s="16" t="n"/>
      <c r="E75" s="16" t="n"/>
      <c r="F75" s="16" t="n"/>
      <c r="G75" s="16" t="n"/>
      <c r="H75" s="16" t="n"/>
      <c r="I75" s="17">
        <f>I43+I73</f>
        <v/>
      </c>
      <c r="J75" s="18">
        <f>J43+J73</f>
        <v/>
      </c>
      <c r="K75" s="16" t="n"/>
      <c r="L75" s="16" t="n"/>
      <c r="M75" s="16" t="n"/>
    </row>
  </sheetData>
  <mergeCells count="1">
    <mergeCell ref="C75:H75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Спецификация витражей по литерам</t>
        </is>
      </c>
    </row>
    <row r="3" ht="48" customHeight="1">
      <c r="A3" s="2" t="inlineStr">
        <is>
          <t>№</t>
        </is>
      </c>
      <c r="B3" s="2" t="inlineStr">
        <is>
          <t>Марка</t>
        </is>
      </c>
      <c r="C3" s="2" t="inlineStr">
        <is>
          <t>Длина, мм</t>
        </is>
      </c>
      <c r="D3" s="2" t="inlineStr">
        <is>
          <t>Высота, мм</t>
        </is>
      </c>
      <c r="E3" s="2" t="inlineStr">
        <is>
          <t>Площадь 1 шт по КП, м²</t>
        </is>
      </c>
      <c r="F3" s="2" t="inlineStr">
        <is>
          <t>Кол-во, шт</t>
        </is>
      </c>
      <c r="G3" s="2" t="inlineStr">
        <is>
          <t>Площадь по КП, м²</t>
        </is>
      </c>
      <c r="H3" s="2" t="inlineStr">
        <is>
          <t>Отметка</t>
        </is>
      </c>
    </row>
    <row r="4">
      <c r="A4" s="3" t="n"/>
      <c r="B4" s="19" t="inlineStr">
        <is>
          <t>Литер А</t>
        </is>
      </c>
      <c r="C4" s="20" t="n"/>
      <c r="D4" s="20" t="n"/>
      <c r="E4" s="21" t="n"/>
      <c r="F4" s="20" t="n"/>
      <c r="G4" s="22" t="n"/>
      <c r="H4" s="20" t="n"/>
    </row>
    <row r="5">
      <c r="A5" s="3" t="n">
        <v>1</v>
      </c>
      <c r="B5" s="3" t="inlineStr">
        <is>
          <t>Вн-6</t>
        </is>
      </c>
      <c r="C5" s="3" t="n">
        <v>4200</v>
      </c>
      <c r="D5" s="3" t="n">
        <v>4820</v>
      </c>
      <c r="E5" s="4">
        <f>ROUND(G5/F5,2)</f>
        <v/>
      </c>
      <c r="F5" s="3" t="n">
        <v>3</v>
      </c>
      <c r="G5" s="5" t="n">
        <v>59.76</v>
      </c>
      <c r="H5" s="3" t="inlineStr">
        <is>
          <t>-6.000</t>
        </is>
      </c>
    </row>
    <row r="6">
      <c r="A6" s="3" t="n">
        <v>2</v>
      </c>
      <c r="B6" s="3" t="inlineStr">
        <is>
          <t>Вн-6 (устан. в лит. Г, КП 1-18 №6)</t>
        </is>
      </c>
      <c r="C6" s="3" t="n">
        <v>4200</v>
      </c>
      <c r="D6" s="3" t="n">
        <v>4820</v>
      </c>
      <c r="E6" s="4">
        <f>ROUND(G6/F6,2)</f>
        <v/>
      </c>
      <c r="F6" s="3" t="n">
        <v>1</v>
      </c>
      <c r="G6" s="5" t="n">
        <v>19.82</v>
      </c>
      <c r="H6" s="3" t="inlineStr">
        <is>
          <t>-6.000</t>
        </is>
      </c>
    </row>
    <row r="7">
      <c r="A7" s="3" t="n">
        <v>3</v>
      </c>
      <c r="B7" s="3" t="inlineStr">
        <is>
          <t>Вн-8</t>
        </is>
      </c>
      <c r="C7" s="3" t="n">
        <v>2600</v>
      </c>
      <c r="D7" s="3" t="n">
        <v>4820</v>
      </c>
      <c r="E7" s="4">
        <f>ROUND(G7/F7,2)</f>
        <v/>
      </c>
      <c r="F7" s="3" t="n">
        <v>1</v>
      </c>
      <c r="G7" s="5" t="n">
        <v>12.34</v>
      </c>
      <c r="H7" s="3" t="inlineStr">
        <is>
          <t>-6.000</t>
        </is>
      </c>
    </row>
    <row r="8">
      <c r="A8" s="3" t="n">
        <v>4</v>
      </c>
      <c r="B8" s="3" t="inlineStr">
        <is>
          <t>Вн-14</t>
        </is>
      </c>
      <c r="C8" s="3" t="n">
        <v>2485</v>
      </c>
      <c r="D8" s="3" t="n">
        <v>4820</v>
      </c>
      <c r="E8" s="4">
        <f>ROUND(G8/F8,2)</f>
        <v/>
      </c>
      <c r="F8" s="3" t="n">
        <v>1</v>
      </c>
      <c r="G8" s="5" t="n">
        <v>11.14</v>
      </c>
      <c r="H8" s="3" t="inlineStr">
        <is>
          <t>-6.000</t>
        </is>
      </c>
    </row>
    <row r="9">
      <c r="A9" s="3" t="n">
        <v>5</v>
      </c>
      <c r="B9" s="3" t="inlineStr">
        <is>
          <t>Вн-15</t>
        </is>
      </c>
      <c r="C9" s="3" t="n">
        <v>1400</v>
      </c>
      <c r="D9" s="3" t="n">
        <v>4820</v>
      </c>
      <c r="E9" s="4">
        <f>ROUND(G9/F9,2)</f>
        <v/>
      </c>
      <c r="F9" s="3" t="n">
        <v>1</v>
      </c>
      <c r="G9" s="5" t="n">
        <v>5.62</v>
      </c>
      <c r="H9" s="3" t="inlineStr">
        <is>
          <t>-6.000</t>
        </is>
      </c>
    </row>
    <row r="10">
      <c r="A10" s="3" t="n">
        <v>6</v>
      </c>
      <c r="B10" s="3" t="inlineStr">
        <is>
          <t>Вн-22</t>
        </is>
      </c>
      <c r="C10" s="3" t="n">
        <v>2150</v>
      </c>
      <c r="D10" s="3" t="n">
        <v>2720</v>
      </c>
      <c r="E10" s="4">
        <f>ROUND(G10/F10,2)</f>
        <v/>
      </c>
      <c r="F10" s="3" t="n">
        <v>5</v>
      </c>
      <c r="G10" s="5" t="n">
        <v>28.57</v>
      </c>
      <c r="H10" s="3" t="inlineStr">
        <is>
          <t>0.000</t>
        </is>
      </c>
    </row>
    <row r="11">
      <c r="A11" s="7" t="n"/>
      <c r="B11" s="8" t="inlineStr">
        <is>
          <t>Итого литер А</t>
        </is>
      </c>
      <c r="C11" s="7" t="n"/>
      <c r="D11" s="7" t="n"/>
      <c r="E11" s="9" t="n"/>
      <c r="F11" s="8">
        <f>SUM(F5:F10)</f>
        <v/>
      </c>
      <c r="G11" s="10">
        <f>SUM(G5:G10)</f>
        <v/>
      </c>
      <c r="H11" s="7" t="n"/>
    </row>
    <row r="12">
      <c r="A12" s="3" t="n"/>
      <c r="B12" s="19" t="inlineStr">
        <is>
          <t>Литер Б</t>
        </is>
      </c>
      <c r="C12" s="20" t="n"/>
      <c r="D12" s="20" t="n"/>
      <c r="E12" s="21" t="n"/>
      <c r="F12" s="20" t="n"/>
      <c r="G12" s="22" t="n"/>
      <c r="H12" s="20" t="n"/>
    </row>
    <row r="13">
      <c r="A13" s="3" t="n">
        <v>7</v>
      </c>
      <c r="B13" s="3" t="inlineStr">
        <is>
          <t>Вн-6</t>
        </is>
      </c>
      <c r="C13" s="3" t="n">
        <v>4200</v>
      </c>
      <c r="D13" s="3" t="n">
        <v>4820</v>
      </c>
      <c r="E13" s="4">
        <f>ROUND(G13/F13,2)</f>
        <v/>
      </c>
      <c r="F13" s="3" t="n">
        <v>3</v>
      </c>
      <c r="G13" s="5" t="n">
        <v>58.46</v>
      </c>
      <c r="H13" s="3" t="inlineStr">
        <is>
          <t>-6.000</t>
        </is>
      </c>
    </row>
    <row r="14">
      <c r="A14" s="3" t="n">
        <v>8</v>
      </c>
      <c r="B14" s="3" t="inlineStr">
        <is>
          <t>Вн-6 (устан. в лит. Г, КП 1-18 №8)</t>
        </is>
      </c>
      <c r="C14" s="3" t="n">
        <v>4200</v>
      </c>
      <c r="D14" s="3" t="n">
        <v>4820</v>
      </c>
      <c r="E14" s="4">
        <f>ROUND(G14/F14,2)</f>
        <v/>
      </c>
      <c r="F14" s="3" t="n">
        <v>1</v>
      </c>
      <c r="G14" s="5" t="n">
        <v>21.36</v>
      </c>
      <c r="H14" s="3" t="inlineStr">
        <is>
          <t>-6.000</t>
        </is>
      </c>
    </row>
    <row r="15">
      <c r="A15" s="3" t="n">
        <v>9</v>
      </c>
      <c r="B15" s="3" t="inlineStr">
        <is>
          <t>Вн-15</t>
        </is>
      </c>
      <c r="C15" s="3" t="n">
        <v>1400</v>
      </c>
      <c r="D15" s="3" t="n">
        <v>4820</v>
      </c>
      <c r="E15" s="4">
        <f>ROUND(G15/F15,2)</f>
        <v/>
      </c>
      <c r="F15" s="3" t="n">
        <v>1</v>
      </c>
      <c r="G15" s="5" t="n">
        <v>6</v>
      </c>
      <c r="H15" s="3" t="inlineStr">
        <is>
          <t>-6.000</t>
        </is>
      </c>
    </row>
    <row r="16">
      <c r="A16" s="3" t="n">
        <v>10</v>
      </c>
      <c r="B16" s="3" t="inlineStr">
        <is>
          <t>Вн-17</t>
        </is>
      </c>
      <c r="C16" s="3" t="n">
        <v>4200</v>
      </c>
      <c r="D16" s="3" t="n">
        <v>4820</v>
      </c>
      <c r="E16" s="4">
        <f>ROUND(G16/F16,2)</f>
        <v/>
      </c>
      <c r="F16" s="3" t="n">
        <v>1</v>
      </c>
      <c r="G16" s="5" t="n">
        <v>19.49</v>
      </c>
      <c r="H16" s="3" t="inlineStr">
        <is>
          <t>-6.000</t>
        </is>
      </c>
    </row>
    <row r="17">
      <c r="A17" s="3" t="n">
        <v>11</v>
      </c>
      <c r="B17" s="3" t="inlineStr">
        <is>
          <t>Вн-18</t>
        </is>
      </c>
      <c r="C17" s="3" t="n">
        <v>2600</v>
      </c>
      <c r="D17" s="3" t="n">
        <v>4820</v>
      </c>
      <c r="E17" s="4">
        <f>ROUND(G17/F17,2)</f>
        <v/>
      </c>
      <c r="F17" s="3" t="n">
        <v>1</v>
      </c>
      <c r="G17" s="5" t="n">
        <v>11.9</v>
      </c>
      <c r="H17" s="3" t="inlineStr">
        <is>
          <t>-6.000</t>
        </is>
      </c>
    </row>
    <row r="18">
      <c r="A18" s="3" t="n">
        <v>12</v>
      </c>
      <c r="B18" s="3" t="inlineStr">
        <is>
          <t>Вн-22</t>
        </is>
      </c>
      <c r="C18" s="3" t="n">
        <v>2150</v>
      </c>
      <c r="D18" s="3" t="n">
        <v>2720</v>
      </c>
      <c r="E18" s="4">
        <f>ROUND(G18/F18,2)</f>
        <v/>
      </c>
      <c r="F18" s="3" t="n">
        <v>5</v>
      </c>
      <c r="G18" s="5" t="n">
        <v>28.57</v>
      </c>
      <c r="H18" s="3" t="inlineStr">
        <is>
          <t>0.000</t>
        </is>
      </c>
    </row>
    <row r="19">
      <c r="A19" s="7" t="n"/>
      <c r="B19" s="8" t="inlineStr">
        <is>
          <t>Итого литер Б</t>
        </is>
      </c>
      <c r="C19" s="7" t="n"/>
      <c r="D19" s="7" t="n"/>
      <c r="E19" s="9" t="n"/>
      <c r="F19" s="8">
        <f>SUM(F13:F18)</f>
        <v/>
      </c>
      <c r="G19" s="10">
        <f>SUM(G13:G18)</f>
        <v/>
      </c>
      <c r="H19" s="7" t="n"/>
    </row>
    <row r="20">
      <c r="A20" s="3" t="n"/>
      <c r="B20" s="19" t="inlineStr">
        <is>
          <t>Литер В</t>
        </is>
      </c>
      <c r="C20" s="20" t="n"/>
      <c r="D20" s="20" t="n"/>
      <c r="E20" s="21" t="n"/>
      <c r="F20" s="20" t="n"/>
      <c r="G20" s="22" t="n"/>
      <c r="H20" s="20" t="n"/>
    </row>
    <row r="21">
      <c r="A21" s="3" t="n">
        <v>13</v>
      </c>
      <c r="B21" s="3" t="inlineStr">
        <is>
          <t>Вн-6</t>
        </is>
      </c>
      <c r="C21" s="3" t="n">
        <v>4200</v>
      </c>
      <c r="D21" s="3" t="n">
        <v>4820</v>
      </c>
      <c r="E21" s="4">
        <f>ROUND(G21/F21,2)</f>
        <v/>
      </c>
      <c r="F21" s="3" t="n">
        <v>1</v>
      </c>
      <c r="G21" s="5" t="n">
        <v>19.63</v>
      </c>
      <c r="H21" s="3" t="inlineStr">
        <is>
          <t>-6.000</t>
        </is>
      </c>
    </row>
    <row r="22">
      <c r="A22" s="3" t="n">
        <v>14</v>
      </c>
      <c r="B22" s="3" t="inlineStr">
        <is>
          <t>Вн-13</t>
        </is>
      </c>
      <c r="C22" s="3" t="n">
        <v>3200</v>
      </c>
      <c r="D22" s="3" t="n">
        <v>4820</v>
      </c>
      <c r="E22" s="4">
        <f>ROUND(G22/F22,2)</f>
        <v/>
      </c>
      <c r="F22" s="3" t="n">
        <v>1</v>
      </c>
      <c r="G22" s="5" t="n">
        <v>14.74</v>
      </c>
      <c r="H22" s="3" t="inlineStr">
        <is>
          <t>-6.000</t>
        </is>
      </c>
    </row>
    <row r="23">
      <c r="A23" s="3" t="n">
        <v>15</v>
      </c>
      <c r="B23" s="3" t="inlineStr">
        <is>
          <t>Вн-16</t>
        </is>
      </c>
      <c r="C23" s="3" t="n">
        <v>1200</v>
      </c>
      <c r="D23" s="3" t="n">
        <v>4820</v>
      </c>
      <c r="E23" s="4">
        <f>ROUND(G23/F23,2)</f>
        <v/>
      </c>
      <c r="F23" s="3" t="n">
        <v>3</v>
      </c>
      <c r="G23" s="5" t="n">
        <v>18.57</v>
      </c>
      <c r="H23" s="3" t="inlineStr">
        <is>
          <t>-6.000</t>
        </is>
      </c>
    </row>
    <row r="24">
      <c r="A24" s="3" t="n">
        <v>16</v>
      </c>
      <c r="B24" s="3" t="inlineStr">
        <is>
          <t>Вн-17</t>
        </is>
      </c>
      <c r="C24" s="3" t="n">
        <v>4200</v>
      </c>
      <c r="D24" s="3" t="n">
        <v>4820</v>
      </c>
      <c r="E24" s="4">
        <f>ROUND(G24/F24,2)</f>
        <v/>
      </c>
      <c r="F24" s="3" t="n">
        <v>1</v>
      </c>
      <c r="G24" s="5" t="n">
        <v>19.68</v>
      </c>
      <c r="H24" s="3" t="inlineStr">
        <is>
          <t>-6.000</t>
        </is>
      </c>
    </row>
    <row r="25">
      <c r="A25" s="3" t="n">
        <v>17</v>
      </c>
      <c r="B25" s="3" t="inlineStr">
        <is>
          <t>Вн-19</t>
        </is>
      </c>
      <c r="C25" s="3" t="n">
        <v>3000</v>
      </c>
      <c r="D25" s="3" t="n">
        <v>4820</v>
      </c>
      <c r="E25" s="4">
        <f>ROUND(G25/F25,2)</f>
        <v/>
      </c>
      <c r="F25" s="3" t="n">
        <v>2</v>
      </c>
      <c r="G25" s="5" t="n">
        <v>24.67</v>
      </c>
      <c r="H25" s="3" t="inlineStr">
        <is>
          <t>-6.000</t>
        </is>
      </c>
    </row>
    <row r="26">
      <c r="A26" s="3" t="n">
        <v>18</v>
      </c>
      <c r="B26" s="3" t="inlineStr">
        <is>
          <t>Вн-22</t>
        </is>
      </c>
      <c r="C26" s="3" t="n">
        <v>2150</v>
      </c>
      <c r="D26" s="3" t="n">
        <v>2720</v>
      </c>
      <c r="E26" s="4">
        <f>ROUND(G26/F26,2)</f>
        <v/>
      </c>
      <c r="F26" s="3" t="n">
        <v>1</v>
      </c>
      <c r="G26" s="5" t="n">
        <v>5.71</v>
      </c>
      <c r="H26" s="3" t="inlineStr">
        <is>
          <t>0.000</t>
        </is>
      </c>
    </row>
    <row r="27">
      <c r="A27" s="7" t="n"/>
      <c r="B27" s="8" t="inlineStr">
        <is>
          <t>Итого литер В</t>
        </is>
      </c>
      <c r="C27" s="7" t="n"/>
      <c r="D27" s="7" t="n"/>
      <c r="E27" s="9" t="n"/>
      <c r="F27" s="8">
        <f>SUM(F21:F26)</f>
        <v/>
      </c>
      <c r="G27" s="10">
        <f>SUM(G21:G26)</f>
        <v/>
      </c>
      <c r="H27" s="7" t="n"/>
    </row>
    <row r="28">
      <c r="A28" s="3" t="n"/>
      <c r="B28" s="19" t="inlineStr">
        <is>
          <t>Литер Г</t>
        </is>
      </c>
      <c r="C28" s="20" t="n"/>
      <c r="D28" s="20" t="n"/>
      <c r="E28" s="21" t="n"/>
      <c r="F28" s="20" t="n"/>
      <c r="G28" s="22" t="n"/>
      <c r="H28" s="20" t="n"/>
    </row>
    <row r="29">
      <c r="A29" s="3" t="n">
        <v>19</v>
      </c>
      <c r="B29" s="3" t="inlineStr">
        <is>
          <t>Вн-6</t>
        </is>
      </c>
      <c r="C29" s="3" t="n">
        <v>4200</v>
      </c>
      <c r="D29" s="3" t="n">
        <v>4820</v>
      </c>
      <c r="E29" s="4">
        <f>ROUND(G29/F29,2)</f>
        <v/>
      </c>
      <c r="F29" s="3" t="n">
        <v>1</v>
      </c>
      <c r="G29" s="5" t="n">
        <v>20.45</v>
      </c>
      <c r="H29" s="3" t="inlineStr">
        <is>
          <t>-6.000</t>
        </is>
      </c>
    </row>
    <row r="30">
      <c r="A30" s="3" t="n">
        <v>20</v>
      </c>
      <c r="B30" s="3" t="inlineStr">
        <is>
          <t>Вн-10</t>
        </is>
      </c>
      <c r="C30" s="3" t="n">
        <v>4160</v>
      </c>
      <c r="D30" s="3" t="n">
        <v>4820</v>
      </c>
      <c r="E30" s="4">
        <f>ROUND(G30/F30,2)</f>
        <v/>
      </c>
      <c r="F30" s="3" t="n">
        <v>1</v>
      </c>
      <c r="G30" s="5" t="n">
        <v>19.97</v>
      </c>
      <c r="H30" s="3" t="inlineStr">
        <is>
          <t>-6.000</t>
        </is>
      </c>
    </row>
    <row r="31">
      <c r="A31" s="3" t="n">
        <v>21</v>
      </c>
      <c r="B31" s="3" t="inlineStr">
        <is>
          <t>Вн-11</t>
        </is>
      </c>
      <c r="C31" s="3" t="n">
        <v>2450</v>
      </c>
      <c r="D31" s="3" t="n">
        <v>4820</v>
      </c>
      <c r="E31" s="4">
        <f>ROUND(G31/F31,2)</f>
        <v/>
      </c>
      <c r="F31" s="3" t="n">
        <v>1</v>
      </c>
      <c r="G31" s="5" t="n">
        <v>11.09</v>
      </c>
      <c r="H31" s="3" t="inlineStr">
        <is>
          <t>-6.000</t>
        </is>
      </c>
    </row>
    <row r="32">
      <c r="A32" s="3" t="n">
        <v>22</v>
      </c>
      <c r="B32" s="3" t="inlineStr">
        <is>
          <t>Вн-12</t>
        </is>
      </c>
      <c r="C32" s="3" t="n">
        <v>3370</v>
      </c>
      <c r="D32" s="3" t="n">
        <v>4820</v>
      </c>
      <c r="E32" s="4">
        <f>ROUND(G32/F32,2)</f>
        <v/>
      </c>
      <c r="F32" s="3" t="n">
        <v>1</v>
      </c>
      <c r="G32" s="5" t="n">
        <v>15.6</v>
      </c>
      <c r="H32" s="3" t="inlineStr">
        <is>
          <t>-6.000</t>
        </is>
      </c>
    </row>
    <row r="33">
      <c r="A33" s="3" t="n">
        <v>23</v>
      </c>
      <c r="B33" s="3" t="inlineStr">
        <is>
          <t>Вн-17</t>
        </is>
      </c>
      <c r="C33" s="3" t="n">
        <v>4200</v>
      </c>
      <c r="D33" s="3" t="n">
        <v>4820</v>
      </c>
      <c r="E33" s="4">
        <f>ROUND(G33/F33,2)</f>
        <v/>
      </c>
      <c r="F33" s="3" t="n">
        <v>1</v>
      </c>
      <c r="G33" s="5" t="n">
        <v>19.82</v>
      </c>
      <c r="H33" s="3" t="inlineStr">
        <is>
          <t>-6.000</t>
        </is>
      </c>
    </row>
    <row r="34">
      <c r="A34" s="3" t="n">
        <v>24</v>
      </c>
      <c r="B34" s="3" t="inlineStr">
        <is>
          <t>Вн-20</t>
        </is>
      </c>
      <c r="C34" s="3" t="n">
        <v>3900</v>
      </c>
      <c r="D34" s="3" t="n">
        <v>4820</v>
      </c>
      <c r="E34" s="4">
        <f>ROUND(G34/F34,2)</f>
        <v/>
      </c>
      <c r="F34" s="3" t="n">
        <v>1</v>
      </c>
      <c r="G34" s="5" t="n">
        <v>18.43</v>
      </c>
      <c r="H34" s="3" t="inlineStr">
        <is>
          <t>-6.000</t>
        </is>
      </c>
    </row>
    <row r="35">
      <c r="A35" s="3" t="n">
        <v>25</v>
      </c>
      <c r="B35" s="3" t="inlineStr">
        <is>
          <t>Вн-21</t>
        </is>
      </c>
      <c r="C35" s="3" t="n">
        <v>2920</v>
      </c>
      <c r="D35" s="3" t="n">
        <v>4820</v>
      </c>
      <c r="E35" s="4">
        <f>ROUND(G35/F35,2)</f>
        <v/>
      </c>
      <c r="F35" s="3" t="n">
        <v>1</v>
      </c>
      <c r="G35" s="5" t="n">
        <v>14.02</v>
      </c>
      <c r="H35" s="3" t="inlineStr">
        <is>
          <t>-6.000</t>
        </is>
      </c>
    </row>
    <row r="36">
      <c r="A36" s="7" t="n"/>
      <c r="B36" s="8" t="inlineStr">
        <is>
          <t>Итого литер Г</t>
        </is>
      </c>
      <c r="C36" s="7" t="n"/>
      <c r="D36" s="7" t="n"/>
      <c r="E36" s="9" t="n"/>
      <c r="F36" s="8">
        <f>SUM(F29:F35)</f>
        <v/>
      </c>
      <c r="G36" s="10">
        <f>SUM(G29:G35)</f>
        <v/>
      </c>
      <c r="H36" s="7" t="n"/>
    </row>
    <row r="37">
      <c r="A37" s="3" t="n"/>
      <c r="B37" s="19" t="inlineStr">
        <is>
          <t>Литер Д</t>
        </is>
      </c>
      <c r="C37" s="20" t="n"/>
      <c r="D37" s="20" t="n"/>
      <c r="E37" s="21" t="n"/>
      <c r="F37" s="20" t="n"/>
      <c r="G37" s="22" t="n"/>
      <c r="H37" s="20" t="n"/>
    </row>
    <row r="38">
      <c r="A38" s="3" t="n">
        <v>26</v>
      </c>
      <c r="B38" s="3" t="inlineStr">
        <is>
          <t>Вн-6</t>
        </is>
      </c>
      <c r="C38" s="3" t="n">
        <v>4200</v>
      </c>
      <c r="D38" s="3" t="n">
        <v>4820</v>
      </c>
      <c r="E38" s="4">
        <f>ROUND(G38/F38,2)</f>
        <v/>
      </c>
      <c r="F38" s="3" t="n">
        <v>2</v>
      </c>
      <c r="G38" s="5" t="n">
        <v>39.98</v>
      </c>
      <c r="H38" s="3" t="inlineStr">
        <is>
          <t>-6.000</t>
        </is>
      </c>
    </row>
    <row r="39">
      <c r="A39" s="3" t="n">
        <v>27</v>
      </c>
      <c r="B39" s="3" t="inlineStr">
        <is>
          <t>Вн-7</t>
        </is>
      </c>
      <c r="C39" s="3" t="n">
        <v>3020</v>
      </c>
      <c r="D39" s="3" t="n">
        <v>4820</v>
      </c>
      <c r="E39" s="4">
        <f>ROUND(G39/F39,2)</f>
        <v/>
      </c>
      <c r="F39" s="3" t="n">
        <v>1</v>
      </c>
      <c r="G39" s="5" t="n">
        <v>19.97</v>
      </c>
      <c r="H39" s="3" t="inlineStr">
        <is>
          <t>-6.000</t>
        </is>
      </c>
    </row>
    <row r="40">
      <c r="A40" s="3" t="n">
        <v>28</v>
      </c>
      <c r="B40" s="3" t="inlineStr">
        <is>
          <t>Вн-9</t>
        </is>
      </c>
      <c r="C40" s="3" t="n">
        <v>3870</v>
      </c>
      <c r="D40" s="3" t="n">
        <v>4820</v>
      </c>
      <c r="E40" s="4">
        <f>ROUND(G40/F40,2)</f>
        <v/>
      </c>
      <c r="F40" s="3" t="n">
        <v>1</v>
      </c>
      <c r="G40" s="5" t="n">
        <v>19.68</v>
      </c>
      <c r="H40" s="3" t="inlineStr">
        <is>
          <t>-6.000</t>
        </is>
      </c>
    </row>
    <row r="41">
      <c r="A41" s="3" t="n">
        <v>29</v>
      </c>
      <c r="B41" s="3" t="inlineStr">
        <is>
          <t>Вн-17</t>
        </is>
      </c>
      <c r="C41" s="3" t="n">
        <v>4200</v>
      </c>
      <c r="D41" s="3" t="n">
        <v>4820</v>
      </c>
      <c r="E41" s="4">
        <f>ROUND(G41/F41,2)</f>
        <v/>
      </c>
      <c r="F41" s="3" t="n">
        <v>1</v>
      </c>
      <c r="G41" s="5" t="n">
        <v>18.14</v>
      </c>
      <c r="H41" s="3" t="inlineStr">
        <is>
          <t>-6.000</t>
        </is>
      </c>
    </row>
    <row r="42">
      <c r="A42" s="7" t="n"/>
      <c r="B42" s="8" t="inlineStr">
        <is>
          <t>Итого литер Д</t>
        </is>
      </c>
      <c r="C42" s="7" t="n"/>
      <c r="D42" s="7" t="n"/>
      <c r="E42" s="9" t="n"/>
      <c r="F42" s="8">
        <f>SUM(F38:F41)</f>
        <v/>
      </c>
      <c r="G42" s="10">
        <f>SUM(G38:G41)</f>
        <v/>
      </c>
      <c r="H42" s="7" t="n"/>
    </row>
    <row r="43">
      <c r="A43" s="3" t="n"/>
      <c r="B43" s="23" t="inlineStr">
        <is>
          <t>ВСЕГО</t>
        </is>
      </c>
      <c r="C43" s="3" t="n"/>
      <c r="D43" s="3" t="n"/>
      <c r="E43" s="4" t="n"/>
      <c r="F43" s="23">
        <f>F11+F19+F27+F36+F42</f>
        <v/>
      </c>
      <c r="G43" s="24">
        <f>G11+G19+G27+G36+G42</f>
        <v/>
      </c>
      <c r="H43" s="3" t="n"/>
    </row>
  </sheetData>
  <mergeCells count="5">
    <mergeCell ref="B4:H4"/>
    <mergeCell ref="B12:H12"/>
    <mergeCell ref="B20:H20"/>
    <mergeCell ref="B37:H37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9" customWidth="1" min="8" max="8"/>
    <col width="8" customWidth="1" min="9" max="9"/>
    <col width="12" customWidth="1" min="10" max="10"/>
    <col width="10" customWidth="1" min="11" max="11"/>
  </cols>
  <sheetData>
    <row r="1">
      <c r="A1" s="1" t="inlineStr">
        <is>
          <t>Двери в составе витражей по КП от 13.04.2026</t>
        </is>
      </c>
    </row>
    <row r="2">
      <c r="A2" t="inlineStr">
        <is>
          <t>Литер и витраж — как подписано в КП; марка ВДЦ — по типу и размеру. Двери Вн-22 (КП №15, 11 шт.) — как сами Вн-22: А5, Б5, В1</t>
        </is>
      </c>
    </row>
    <row r="3" ht="60" customHeight="1">
      <c r="A3" s="2" t="inlineStr">
        <is>
          <t>№</t>
        </is>
      </c>
      <c r="B3" s="2" t="inlineStr">
        <is>
          <t>Литер</t>
        </is>
      </c>
      <c r="C3" s="2" t="inlineStr">
        <is>
          <t>Витраж</t>
        </is>
      </c>
      <c r="D3" s="2" t="inlineStr">
        <is>
          <t>Марка по ВДЦ</t>
        </is>
      </c>
      <c r="E3" s="2" t="inlineStr">
        <is>
          <t>Тип</t>
        </is>
      </c>
      <c r="F3" s="2" t="inlineStr">
        <is>
          <t>КП</t>
        </is>
      </c>
      <c r="G3" s="2" t="inlineStr">
        <is>
          <t>Ширина, мм</t>
        </is>
      </c>
      <c r="H3" s="2" t="inlineStr">
        <is>
          <t>Высота, мм</t>
        </is>
      </c>
      <c r="I3" s="2" t="inlineStr">
        <is>
          <t>Кол-во, шт</t>
        </is>
      </c>
      <c r="J3" s="2" t="inlineStr">
        <is>
          <t>Площадь по размерам КП, м²</t>
        </is>
      </c>
      <c r="K3" s="2" t="inlineStr">
        <is>
          <t>Площадь в КП, м²</t>
        </is>
      </c>
    </row>
    <row r="4">
      <c r="A4" s="3" t="n">
        <v>1</v>
      </c>
      <c r="B4" s="3" t="inlineStr">
        <is>
          <t>А</t>
        </is>
      </c>
      <c r="C4" s="3" t="inlineStr">
        <is>
          <t>Вн-6</t>
        </is>
      </c>
      <c r="D4" s="3" t="inlineStr">
        <is>
          <t>Д17*</t>
        </is>
      </c>
      <c r="E4" s="3" t="inlineStr">
        <is>
          <t>двупольная</t>
        </is>
      </c>
      <c r="F4" s="3" t="inlineStr">
        <is>
          <t>№9 А</t>
        </is>
      </c>
      <c r="G4" s="3" t="n">
        <v>1336</v>
      </c>
      <c r="H4" s="3" t="n">
        <v>2433</v>
      </c>
      <c r="I4" s="3" t="n">
        <v>3</v>
      </c>
      <c r="J4" s="4">
        <f>ROUND(G4*H4*I4/1000000,2)</f>
        <v/>
      </c>
      <c r="K4" s="4" t="n">
        <v>9.75</v>
      </c>
    </row>
    <row r="5">
      <c r="A5" s="3" t="n">
        <v>2</v>
      </c>
      <c r="B5" s="3" t="inlineStr">
        <is>
          <t>А</t>
        </is>
      </c>
      <c r="C5" s="3" t="inlineStr">
        <is>
          <t>Вн-14</t>
        </is>
      </c>
      <c r="D5" s="3" t="inlineStr">
        <is>
          <t>Д17*</t>
        </is>
      </c>
      <c r="E5" s="3" t="inlineStr">
        <is>
          <t>двупольная</t>
        </is>
      </c>
      <c r="F5" s="3" t="inlineStr">
        <is>
          <t>№9 А</t>
        </is>
      </c>
      <c r="G5" s="3" t="n">
        <v>1336</v>
      </c>
      <c r="H5" s="3" t="n">
        <v>2433</v>
      </c>
      <c r="I5" s="3" t="n">
        <v>1</v>
      </c>
      <c r="J5" s="4">
        <f>ROUND(G5*H5*I5/1000000,2)</f>
        <v/>
      </c>
      <c r="K5" s="4" t="n">
        <v>3.25</v>
      </c>
    </row>
    <row r="6">
      <c r="A6" s="3" t="n">
        <v>3</v>
      </c>
      <c r="B6" s="3" t="inlineStr">
        <is>
          <t>А</t>
        </is>
      </c>
      <c r="C6" s="3" t="inlineStr">
        <is>
          <t>Вн-15</t>
        </is>
      </c>
      <c r="D6" s="3" t="inlineStr">
        <is>
          <t>Д35</t>
        </is>
      </c>
      <c r="E6" s="3" t="inlineStr">
        <is>
          <t>однопольная</t>
        </is>
      </c>
      <c r="F6" s="3" t="inlineStr">
        <is>
          <t>№9 А</t>
        </is>
      </c>
      <c r="G6" s="3" t="n">
        <v>1106</v>
      </c>
      <c r="H6" s="3" t="n">
        <v>2433</v>
      </c>
      <c r="I6" s="3" t="n">
        <v>1</v>
      </c>
      <c r="J6" s="4">
        <f>ROUND(G6*H6*I6/1000000,2)</f>
        <v/>
      </c>
      <c r="K6" s="4" t="n">
        <v>2.69</v>
      </c>
    </row>
    <row r="7">
      <c r="A7" s="3" t="n">
        <v>4</v>
      </c>
      <c r="B7" s="3" t="inlineStr">
        <is>
          <t>А</t>
        </is>
      </c>
      <c r="C7" s="3" t="inlineStr">
        <is>
          <t>Вн-22</t>
        </is>
      </c>
      <c r="D7" s="3" t="inlineStr">
        <is>
          <t>Д22</t>
        </is>
      </c>
      <c r="E7" s="3" t="inlineStr">
        <is>
          <t>двупольная</t>
        </is>
      </c>
      <c r="F7" s="3" t="inlineStr">
        <is>
          <t>№15 Вн-22</t>
        </is>
      </c>
      <c r="G7" s="3" t="n">
        <v>1336</v>
      </c>
      <c r="H7" s="3" t="n">
        <v>2193</v>
      </c>
      <c r="I7" s="3" t="n">
        <v>5</v>
      </c>
      <c r="J7" s="4">
        <f>ROUND(G7*H7*I7/1000000,2)</f>
        <v/>
      </c>
      <c r="K7" s="4" t="n">
        <v>14.65</v>
      </c>
    </row>
    <row r="8">
      <c r="A8" s="3" t="n">
        <v>5</v>
      </c>
      <c r="B8" s="3" t="inlineStr">
        <is>
          <t>Б</t>
        </is>
      </c>
      <c r="C8" s="3" t="inlineStr">
        <is>
          <t>Вн-6</t>
        </is>
      </c>
      <c r="D8" s="3" t="inlineStr">
        <is>
          <t>Д17*</t>
        </is>
      </c>
      <c r="E8" s="3" t="inlineStr">
        <is>
          <t>двупольная</t>
        </is>
      </c>
      <c r="F8" s="3" t="inlineStr">
        <is>
          <t>№11 Б</t>
        </is>
      </c>
      <c r="G8" s="3" t="n">
        <v>1336</v>
      </c>
      <c r="H8" s="3" t="n">
        <v>2433</v>
      </c>
      <c r="I8" s="3" t="n">
        <v>3</v>
      </c>
      <c r="J8" s="4">
        <f>ROUND(G8*H8*I8/1000000,2)</f>
        <v/>
      </c>
      <c r="K8" s="4" t="n">
        <v>9.75</v>
      </c>
    </row>
    <row r="9">
      <c r="A9" s="3" t="n">
        <v>6</v>
      </c>
      <c r="B9" s="3" t="inlineStr">
        <is>
          <t>Б</t>
        </is>
      </c>
      <c r="C9" s="3" t="inlineStr">
        <is>
          <t>Вн-15</t>
        </is>
      </c>
      <c r="D9" s="3" t="inlineStr">
        <is>
          <t>Д35</t>
        </is>
      </c>
      <c r="E9" s="3" t="inlineStr">
        <is>
          <t>однопольная</t>
        </is>
      </c>
      <c r="F9" s="3" t="inlineStr">
        <is>
          <t>№11 Б</t>
        </is>
      </c>
      <c r="G9" s="3" t="n">
        <v>1186</v>
      </c>
      <c r="H9" s="3" t="n">
        <v>2433</v>
      </c>
      <c r="I9" s="3" t="n">
        <v>1</v>
      </c>
      <c r="J9" s="4">
        <f>ROUND(G9*H9*I9/1000000,2)</f>
        <v/>
      </c>
      <c r="K9" s="4" t="n">
        <v>2.89</v>
      </c>
    </row>
    <row r="10">
      <c r="A10" s="3" t="n">
        <v>7</v>
      </c>
      <c r="B10" s="3" t="inlineStr">
        <is>
          <t>Б</t>
        </is>
      </c>
      <c r="C10" s="3" t="inlineStr">
        <is>
          <t>Вн-18</t>
        </is>
      </c>
      <c r="D10" s="3" t="inlineStr">
        <is>
          <t>Д17*</t>
        </is>
      </c>
      <c r="E10" s="3" t="inlineStr">
        <is>
          <t>двупольная</t>
        </is>
      </c>
      <c r="F10" s="3" t="inlineStr">
        <is>
          <t>№11 Б</t>
        </is>
      </c>
      <c r="G10" s="3" t="n">
        <v>1336</v>
      </c>
      <c r="H10" s="3" t="n">
        <v>2433</v>
      </c>
      <c r="I10" s="3" t="n">
        <v>1</v>
      </c>
      <c r="J10" s="4">
        <f>ROUND(G10*H10*I10/1000000,2)</f>
        <v/>
      </c>
      <c r="K10" s="4" t="n">
        <v>3.25</v>
      </c>
    </row>
    <row r="11">
      <c r="A11" s="3" t="n">
        <v>8</v>
      </c>
      <c r="B11" s="3" t="inlineStr">
        <is>
          <t>Б</t>
        </is>
      </c>
      <c r="C11" s="3" t="inlineStr">
        <is>
          <t>Вн-22</t>
        </is>
      </c>
      <c r="D11" s="3" t="inlineStr">
        <is>
          <t>Д22</t>
        </is>
      </c>
      <c r="E11" s="3" t="inlineStr">
        <is>
          <t>двупольная</t>
        </is>
      </c>
      <c r="F11" s="3" t="inlineStr">
        <is>
          <t>№15 Вн-22</t>
        </is>
      </c>
      <c r="G11" s="3" t="n">
        <v>1336</v>
      </c>
      <c r="H11" s="3" t="n">
        <v>2193</v>
      </c>
      <c r="I11" s="3" t="n">
        <v>5</v>
      </c>
      <c r="J11" s="4">
        <f>ROUND(G11*H11*I11/1000000,2)</f>
        <v/>
      </c>
      <c r="K11" s="4" t="n">
        <v>14.65</v>
      </c>
    </row>
    <row r="12">
      <c r="A12" s="3" t="n">
        <v>9</v>
      </c>
      <c r="B12" s="3" t="inlineStr">
        <is>
          <t>В</t>
        </is>
      </c>
      <c r="C12" s="3" t="inlineStr">
        <is>
          <t>Вн-6</t>
        </is>
      </c>
      <c r="D12" s="3" t="inlineStr">
        <is>
          <t>Д17*</t>
        </is>
      </c>
      <c r="E12" s="3" t="inlineStr">
        <is>
          <t>двупольная</t>
        </is>
      </c>
      <c r="F12" s="3" t="inlineStr">
        <is>
          <t>№12 В</t>
        </is>
      </c>
      <c r="G12" s="3" t="n">
        <v>1336</v>
      </c>
      <c r="H12" s="3" t="n">
        <v>2433</v>
      </c>
      <c r="I12" s="3" t="n">
        <v>1</v>
      </c>
      <c r="J12" s="4">
        <f>ROUND(G12*H12*I12/1000000,2)</f>
        <v/>
      </c>
      <c r="K12" s="4" t="n">
        <v>3.25</v>
      </c>
    </row>
    <row r="13">
      <c r="A13" s="3" t="n">
        <v>10</v>
      </c>
      <c r="B13" s="3" t="inlineStr">
        <is>
          <t>В</t>
        </is>
      </c>
      <c r="C13" s="3" t="inlineStr">
        <is>
          <t>Вн-16</t>
        </is>
      </c>
      <c r="D13" s="3" t="inlineStr">
        <is>
          <t>Д35</t>
        </is>
      </c>
      <c r="E13" s="3" t="inlineStr">
        <is>
          <t>однопольная</t>
        </is>
      </c>
      <c r="F13" s="3" t="inlineStr">
        <is>
          <t>№12 В</t>
        </is>
      </c>
      <c r="G13" s="3" t="n">
        <v>1176</v>
      </c>
      <c r="H13" s="3" t="n">
        <v>2433</v>
      </c>
      <c r="I13" s="3" t="n">
        <v>1</v>
      </c>
      <c r="J13" s="4">
        <f>ROUND(G13*H13*I13/1000000,2)</f>
        <v/>
      </c>
      <c r="K13" s="4" t="n">
        <v>2.86</v>
      </c>
    </row>
    <row r="14">
      <c r="A14" s="3" t="n">
        <v>11</v>
      </c>
      <c r="B14" s="3" t="inlineStr">
        <is>
          <t>В</t>
        </is>
      </c>
      <c r="C14" s="3" t="inlineStr">
        <is>
          <t>Вн-19</t>
        </is>
      </c>
      <c r="D14" s="3" t="inlineStr">
        <is>
          <t>Д17*</t>
        </is>
      </c>
      <c r="E14" s="3" t="inlineStr">
        <is>
          <t>двупольная</t>
        </is>
      </c>
      <c r="F14" s="3" t="inlineStr">
        <is>
          <t>№12 В</t>
        </is>
      </c>
      <c r="G14" s="3" t="n">
        <v>1336</v>
      </c>
      <c r="H14" s="3" t="n">
        <v>2433</v>
      </c>
      <c r="I14" s="3" t="n">
        <v>2</v>
      </c>
      <c r="J14" s="4">
        <f>ROUND(G14*H14*I14/1000000,2)</f>
        <v/>
      </c>
      <c r="K14" s="4" t="n">
        <v>6.5</v>
      </c>
    </row>
    <row r="15">
      <c r="A15" s="3" t="n">
        <v>12</v>
      </c>
      <c r="B15" s="3" t="inlineStr">
        <is>
          <t>В</t>
        </is>
      </c>
      <c r="C15" s="3" t="inlineStr">
        <is>
          <t>Вн-22</t>
        </is>
      </c>
      <c r="D15" s="3" t="inlineStr">
        <is>
          <t>Д22</t>
        </is>
      </c>
      <c r="E15" s="3" t="inlineStr">
        <is>
          <t>двупольная</t>
        </is>
      </c>
      <c r="F15" s="3" t="inlineStr">
        <is>
          <t>№15 Вн-22</t>
        </is>
      </c>
      <c r="G15" s="3" t="n">
        <v>1336</v>
      </c>
      <c r="H15" s="3" t="n">
        <v>2193</v>
      </c>
      <c r="I15" s="3" t="n">
        <v>1</v>
      </c>
      <c r="J15" s="4">
        <f>ROUND(G15*H15*I15/1000000,2)</f>
        <v/>
      </c>
      <c r="K15" s="4" t="n">
        <v>2.93</v>
      </c>
    </row>
    <row r="16">
      <c r="A16" s="3" t="n">
        <v>13</v>
      </c>
      <c r="B16" s="3" t="inlineStr">
        <is>
          <t>Д</t>
        </is>
      </c>
      <c r="C16" s="3" t="inlineStr">
        <is>
          <t>Вн-6</t>
        </is>
      </c>
      <c r="D16" s="3" t="inlineStr">
        <is>
          <t>Д17*</t>
        </is>
      </c>
      <c r="E16" s="3" t="inlineStr">
        <is>
          <t>двупольная</t>
        </is>
      </c>
      <c r="F16" s="3" t="inlineStr">
        <is>
          <t>№14 (Д)</t>
        </is>
      </c>
      <c r="G16" s="3" t="n">
        <v>1336</v>
      </c>
      <c r="H16" s="3" t="n">
        <v>2433</v>
      </c>
      <c r="I16" s="3" t="n">
        <v>2</v>
      </c>
      <c r="J16" s="4">
        <f>ROUND(G16*H16*I16/1000000,2)</f>
        <v/>
      </c>
      <c r="K16" s="4" t="n">
        <v>6.5</v>
      </c>
    </row>
    <row r="17">
      <c r="A17" s="3" t="n">
        <v>14</v>
      </c>
      <c r="B17" s="3" t="inlineStr">
        <is>
          <t>Д</t>
        </is>
      </c>
      <c r="C17" s="3" t="inlineStr">
        <is>
          <t>Вн-9</t>
        </is>
      </c>
      <c r="D17" s="3" t="inlineStr">
        <is>
          <t>Д17*</t>
        </is>
      </c>
      <c r="E17" s="3" t="inlineStr">
        <is>
          <t>двупольная</t>
        </is>
      </c>
      <c r="F17" s="3" t="inlineStr">
        <is>
          <t>№14 (Д)</t>
        </is>
      </c>
      <c r="G17" s="3" t="n">
        <v>1336</v>
      </c>
      <c r="H17" s="3" t="n">
        <v>2433</v>
      </c>
      <c r="I17" s="3" t="n">
        <v>1</v>
      </c>
      <c r="J17" s="4">
        <f>ROUND(G17*H17*I17/1000000,2)</f>
        <v/>
      </c>
      <c r="K17" s="4" t="n">
        <v>3.25</v>
      </c>
    </row>
    <row r="18">
      <c r="A18" s="3" t="n">
        <v>15</v>
      </c>
      <c r="B18" s="3" t="inlineStr">
        <is>
          <t>Д</t>
        </is>
      </c>
      <c r="C18" s="3" t="inlineStr">
        <is>
          <t>Вн-10</t>
        </is>
      </c>
      <c r="D18" s="3" t="inlineStr">
        <is>
          <t>Д17*</t>
        </is>
      </c>
      <c r="E18" s="3" t="inlineStr">
        <is>
          <t>двупольная</t>
        </is>
      </c>
      <c r="F18" s="3" t="inlineStr">
        <is>
          <t>№14 (Д)</t>
        </is>
      </c>
      <c r="G18" s="3" t="n">
        <v>1336</v>
      </c>
      <c r="H18" s="3" t="n">
        <v>2433</v>
      </c>
      <c r="I18" s="3" t="n">
        <v>1</v>
      </c>
      <c r="J18" s="4">
        <f>ROUND(G18*H18*I18/1000000,2)</f>
        <v/>
      </c>
      <c r="K18" s="4" t="n">
        <v>3.25</v>
      </c>
    </row>
    <row r="19">
      <c r="A19" s="7" t="n"/>
      <c r="B19" s="7" t="n"/>
      <c r="C19" s="8" t="inlineStr">
        <is>
          <t>ИТОГО</t>
        </is>
      </c>
      <c r="D19" s="7" t="n"/>
      <c r="E19" s="7" t="n"/>
      <c r="F19" s="7" t="n"/>
      <c r="G19" s="7" t="n"/>
      <c r="H19" s="7" t="n"/>
      <c r="I19" s="8">
        <f>SUM(I4:I18)</f>
        <v/>
      </c>
      <c r="J19" s="25">
        <f>SUM(J4:J18)</f>
        <v/>
      </c>
      <c r="K19" s="25">
        <f>SUM(K4:K18)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7" customWidth="1" min="3" max="3"/>
    <col width="9" customWidth="1" min="4" max="4"/>
    <col width="8" customWidth="1" min="5" max="5"/>
    <col width="11" customWidth="1" min="6" max="6"/>
    <col width="11" customWidth="1" min="7" max="7"/>
    <col width="9" customWidth="1" min="8" max="8"/>
  </cols>
  <sheetData>
    <row r="1">
      <c r="A1" s="12" t="inlineStr">
        <is>
          <t>Витражи на чертежах, входящие в КП (координаты — точка выноски, мм)</t>
        </is>
      </c>
    </row>
    <row r="2">
      <c r="A2" t="inlineStr">
        <is>
          <t>«1 из 3» — на чертеже больше, чем в КП; какие именно — по КП не определить</t>
        </is>
      </c>
    </row>
    <row r="3">
      <c r="A3" s="2" t="inlineStr">
        <is>
          <t>№</t>
        </is>
      </c>
      <c r="B3" s="2" t="inlineStr">
        <is>
          <t>Чертёж</t>
        </is>
      </c>
      <c r="C3" s="2" t="inlineStr">
        <is>
          <t>Литер</t>
        </is>
      </c>
      <c r="D3" s="2" t="inlineStr">
        <is>
          <t>Марка</t>
        </is>
      </c>
      <c r="E3" s="2" t="inlineStr">
        <is>
          <t>Дверь</t>
        </is>
      </c>
      <c r="F3" s="2" t="inlineStr">
        <is>
          <t>X, мм</t>
        </is>
      </c>
      <c r="G3" s="2" t="inlineStr">
        <is>
          <t>Y, мм</t>
        </is>
      </c>
      <c r="H3" s="2" t="inlineStr">
        <is>
          <t>В КП</t>
        </is>
      </c>
    </row>
    <row r="4">
      <c r="A4" s="3" t="n">
        <v>1</v>
      </c>
      <c r="B4" s="3" t="inlineStr">
        <is>
          <t>План на отм. -6.000</t>
        </is>
      </c>
      <c r="C4" s="3" t="inlineStr">
        <is>
          <t>А</t>
        </is>
      </c>
      <c r="D4" s="3" t="inlineStr">
        <is>
          <t>Вн-6</t>
        </is>
      </c>
      <c r="E4" s="3" t="inlineStr">
        <is>
          <t>Д17*</t>
        </is>
      </c>
      <c r="F4" s="26" t="n">
        <v>129957</v>
      </c>
      <c r="G4" s="26" t="n">
        <v>-240209</v>
      </c>
      <c r="H4" s="3" t="inlineStr">
        <is>
          <t>да</t>
        </is>
      </c>
    </row>
    <row r="5">
      <c r="A5" s="3" t="n">
        <v>2</v>
      </c>
      <c r="B5" s="3" t="inlineStr">
        <is>
          <t>План на отм. -6.000</t>
        </is>
      </c>
      <c r="C5" s="3" t="inlineStr">
        <is>
          <t>А</t>
        </is>
      </c>
      <c r="D5" s="3" t="inlineStr">
        <is>
          <t>Вн-6</t>
        </is>
      </c>
      <c r="E5" s="3" t="inlineStr">
        <is>
          <t>Д17*</t>
        </is>
      </c>
      <c r="F5" s="26" t="n">
        <v>140357</v>
      </c>
      <c r="G5" s="26" t="n">
        <v>-240209</v>
      </c>
      <c r="H5" s="3" t="inlineStr">
        <is>
          <t>да</t>
        </is>
      </c>
    </row>
    <row r="6">
      <c r="A6" s="3" t="n">
        <v>3</v>
      </c>
      <c r="B6" s="3" t="inlineStr">
        <is>
          <t>План на отм. -6.000</t>
        </is>
      </c>
      <c r="C6" s="3" t="inlineStr">
        <is>
          <t>А</t>
        </is>
      </c>
      <c r="D6" s="3" t="inlineStr">
        <is>
          <t>Вн-6</t>
        </is>
      </c>
      <c r="E6" s="3" t="inlineStr">
        <is>
          <t>Д17*</t>
        </is>
      </c>
      <c r="F6" s="26" t="n">
        <v>150757</v>
      </c>
      <c r="G6" s="26" t="n">
        <v>-240209</v>
      </c>
      <c r="H6" s="3" t="inlineStr">
        <is>
          <t>да</t>
        </is>
      </c>
    </row>
    <row r="7">
      <c r="A7" s="3" t="n">
        <v>4</v>
      </c>
      <c r="B7" s="3" t="inlineStr">
        <is>
          <t>План на отм. -6.000</t>
        </is>
      </c>
      <c r="C7" s="3" t="inlineStr">
        <is>
          <t>А</t>
        </is>
      </c>
      <c r="D7" s="3" t="inlineStr">
        <is>
          <t>Вн-8</t>
        </is>
      </c>
      <c r="E7" s="3" t="inlineStr"/>
      <c r="F7" s="26" t="n">
        <v>144757</v>
      </c>
      <c r="G7" s="26" t="n">
        <v>-240209</v>
      </c>
      <c r="H7" s="3" t="inlineStr">
        <is>
          <t>да</t>
        </is>
      </c>
    </row>
    <row r="8">
      <c r="A8" s="3" t="n">
        <v>5</v>
      </c>
      <c r="B8" s="3" t="inlineStr">
        <is>
          <t>План на отм. -6.000</t>
        </is>
      </c>
      <c r="C8" s="3" t="inlineStr">
        <is>
          <t>А</t>
        </is>
      </c>
      <c r="D8" s="3" t="inlineStr">
        <is>
          <t>Вн-14</t>
        </is>
      </c>
      <c r="E8" s="3" t="inlineStr">
        <is>
          <t>Д17*</t>
        </is>
      </c>
      <c r="F8" s="26" t="n">
        <v>134299</v>
      </c>
      <c r="G8" s="26" t="n">
        <v>-240209</v>
      </c>
      <c r="H8" s="3" t="inlineStr">
        <is>
          <t>да</t>
        </is>
      </c>
    </row>
    <row r="9">
      <c r="A9" s="3" t="n">
        <v>6</v>
      </c>
      <c r="B9" s="3" t="inlineStr">
        <is>
          <t>План на отм. -6.000</t>
        </is>
      </c>
      <c r="C9" s="3" t="inlineStr">
        <is>
          <t>А</t>
        </is>
      </c>
      <c r="D9" s="3" t="inlineStr">
        <is>
          <t>Вн-15</t>
        </is>
      </c>
      <c r="E9" s="3" t="inlineStr">
        <is>
          <t>Д17*</t>
        </is>
      </c>
      <c r="F9" s="26" t="n">
        <v>136557</v>
      </c>
      <c r="G9" s="26" t="n">
        <v>-240209</v>
      </c>
      <c r="H9" s="3" t="inlineStr">
        <is>
          <t>да</t>
        </is>
      </c>
    </row>
    <row r="10">
      <c r="A10" s="3" t="n">
        <v>7</v>
      </c>
      <c r="B10" s="3" t="inlineStr">
        <is>
          <t>План на отм. -6.000</t>
        </is>
      </c>
      <c r="C10" s="3" t="inlineStr">
        <is>
          <t>Б</t>
        </is>
      </c>
      <c r="D10" s="3" t="inlineStr">
        <is>
          <t>Вн-6</t>
        </is>
      </c>
      <c r="E10" s="3" t="inlineStr">
        <is>
          <t>Д17*</t>
        </is>
      </c>
      <c r="F10" s="26" t="n">
        <v>118357</v>
      </c>
      <c r="G10" s="26" t="n">
        <v>-240209</v>
      </c>
      <c r="H10" s="3" t="inlineStr">
        <is>
          <t>да</t>
        </is>
      </c>
    </row>
    <row r="11">
      <c r="A11" s="3" t="n">
        <v>8</v>
      </c>
      <c r="B11" s="3" t="inlineStr">
        <is>
          <t>План на отм. -6.000</t>
        </is>
      </c>
      <c r="C11" s="3" t="inlineStr">
        <is>
          <t>Б</t>
        </is>
      </c>
      <c r="D11" s="3" t="inlineStr">
        <is>
          <t>Вн-6</t>
        </is>
      </c>
      <c r="E11" s="3" t="inlineStr">
        <is>
          <t>Д17*</t>
        </is>
      </c>
      <c r="F11" s="26" t="n">
        <v>96357</v>
      </c>
      <c r="G11" s="26" t="n">
        <v>-240209</v>
      </c>
      <c r="H11" s="3" t="inlineStr">
        <is>
          <t>да</t>
        </is>
      </c>
    </row>
    <row r="12">
      <c r="A12" s="3" t="n">
        <v>9</v>
      </c>
      <c r="B12" s="3" t="inlineStr">
        <is>
          <t>План на отм. -6.000</t>
        </is>
      </c>
      <c r="C12" s="3" t="inlineStr">
        <is>
          <t>Б</t>
        </is>
      </c>
      <c r="D12" s="3" t="inlineStr">
        <is>
          <t>Вн-6</t>
        </is>
      </c>
      <c r="E12" s="3" t="inlineStr">
        <is>
          <t>Д17*</t>
        </is>
      </c>
      <c r="F12" s="26" t="n">
        <v>106757</v>
      </c>
      <c r="G12" s="26" t="n">
        <v>-240209</v>
      </c>
      <c r="H12" s="3" t="inlineStr">
        <is>
          <t>да</t>
        </is>
      </c>
    </row>
    <row r="13">
      <c r="A13" s="3" t="n">
        <v>10</v>
      </c>
      <c r="B13" s="3" t="inlineStr">
        <is>
          <t>План на отм. -6.000</t>
        </is>
      </c>
      <c r="C13" s="3" t="inlineStr">
        <is>
          <t>Б</t>
        </is>
      </c>
      <c r="D13" s="3" t="inlineStr">
        <is>
          <t>Вн-15</t>
        </is>
      </c>
      <c r="E13" s="3" t="inlineStr">
        <is>
          <t>Д17*</t>
        </is>
      </c>
      <c r="F13" s="26" t="n">
        <v>103802</v>
      </c>
      <c r="G13" s="26" t="n">
        <v>-240189</v>
      </c>
      <c r="H13" s="3" t="inlineStr">
        <is>
          <t>да</t>
        </is>
      </c>
    </row>
    <row r="14">
      <c r="A14" s="3" t="n">
        <v>11</v>
      </c>
      <c r="B14" s="3" t="inlineStr">
        <is>
          <t>План на отм. -6.000</t>
        </is>
      </c>
      <c r="C14" s="3" t="inlineStr">
        <is>
          <t>Б</t>
        </is>
      </c>
      <c r="D14" s="3" t="inlineStr">
        <is>
          <t>Вн-17</t>
        </is>
      </c>
      <c r="E14" s="3" t="inlineStr"/>
      <c r="F14" s="26" t="n">
        <v>111957</v>
      </c>
      <c r="G14" s="26" t="n">
        <v>-240209</v>
      </c>
      <c r="H14" s="3" t="inlineStr">
        <is>
          <t>да</t>
        </is>
      </c>
    </row>
    <row r="15">
      <c r="A15" s="3" t="n">
        <v>12</v>
      </c>
      <c r="B15" s="3" t="inlineStr">
        <is>
          <t>План на отм. -6.000</t>
        </is>
      </c>
      <c r="C15" s="3" t="inlineStr">
        <is>
          <t>Б</t>
        </is>
      </c>
      <c r="D15" s="3" t="inlineStr">
        <is>
          <t>Вн-18</t>
        </is>
      </c>
      <c r="E15" s="3" t="inlineStr">
        <is>
          <t>Д17*</t>
        </is>
      </c>
      <c r="F15" s="26" t="n">
        <v>101557</v>
      </c>
      <c r="G15" s="26" t="n">
        <v>-240209</v>
      </c>
      <c r="H15" s="3" t="inlineStr">
        <is>
          <t>да</t>
        </is>
      </c>
    </row>
    <row r="16">
      <c r="A16" s="3" t="n">
        <v>13</v>
      </c>
      <c r="B16" s="3" t="inlineStr">
        <is>
          <t>План на отм. -6.000</t>
        </is>
      </c>
      <c r="C16" s="3" t="inlineStr">
        <is>
          <t>В</t>
        </is>
      </c>
      <c r="D16" s="3" t="inlineStr">
        <is>
          <t>Вн-6</t>
        </is>
      </c>
      <c r="E16" s="3" t="inlineStr">
        <is>
          <t>Д17*</t>
        </is>
      </c>
      <c r="F16" s="26" t="n">
        <v>85312</v>
      </c>
      <c r="G16" s="26" t="n">
        <v>-240209</v>
      </c>
      <c r="H16" s="3" t="inlineStr">
        <is>
          <t>да</t>
        </is>
      </c>
    </row>
    <row r="17">
      <c r="A17" s="3" t="n">
        <v>14</v>
      </c>
      <c r="B17" s="3" t="inlineStr">
        <is>
          <t>План на отм. -6.000</t>
        </is>
      </c>
      <c r="C17" s="3" t="inlineStr">
        <is>
          <t>В</t>
        </is>
      </c>
      <c r="D17" s="3" t="inlineStr">
        <is>
          <t>Вн-13</t>
        </is>
      </c>
      <c r="E17" s="3" t="inlineStr"/>
      <c r="F17" s="26" t="n">
        <v>62827</v>
      </c>
      <c r="G17" s="26" t="n">
        <v>-240209</v>
      </c>
      <c r="H17" s="3" t="inlineStr">
        <is>
          <t>да</t>
        </is>
      </c>
    </row>
    <row r="18">
      <c r="A18" s="3" t="n">
        <v>15</v>
      </c>
      <c r="B18" s="3" t="inlineStr">
        <is>
          <t>План на отм. -6.000</t>
        </is>
      </c>
      <c r="C18" s="3" t="inlineStr">
        <is>
          <t>В</t>
        </is>
      </c>
      <c r="D18" s="3" t="inlineStr">
        <is>
          <t>Вн-16</t>
        </is>
      </c>
      <c r="E18" s="3" t="inlineStr">
        <is>
          <t>Д35</t>
        </is>
      </c>
      <c r="F18" s="26" t="n">
        <v>75379</v>
      </c>
      <c r="G18" s="26" t="n">
        <v>-240209</v>
      </c>
      <c r="H18" s="3" t="inlineStr">
        <is>
          <t>да</t>
        </is>
      </c>
    </row>
    <row r="19">
      <c r="A19" s="3" t="n">
        <v>16</v>
      </c>
      <c r="B19" s="3" t="inlineStr">
        <is>
          <t>План на отм. -6.000</t>
        </is>
      </c>
      <c r="C19" s="3" t="inlineStr">
        <is>
          <t>В</t>
        </is>
      </c>
      <c r="D19" s="3" t="inlineStr">
        <is>
          <t>Вн-16</t>
        </is>
      </c>
      <c r="E19" s="3" t="inlineStr">
        <is>
          <t>Д35</t>
        </is>
      </c>
      <c r="F19" s="26" t="n">
        <v>58219</v>
      </c>
      <c r="G19" s="26" t="n">
        <v>-240238</v>
      </c>
      <c r="H19" s="3" t="inlineStr">
        <is>
          <t>да</t>
        </is>
      </c>
    </row>
    <row r="20">
      <c r="A20" s="3" t="n">
        <v>17</v>
      </c>
      <c r="B20" s="3" t="inlineStr">
        <is>
          <t>План на отм. -6.000</t>
        </is>
      </c>
      <c r="C20" s="3" t="inlineStr">
        <is>
          <t>В</t>
        </is>
      </c>
      <c r="D20" s="3" t="inlineStr">
        <is>
          <t>Вн-16</t>
        </is>
      </c>
      <c r="E20" s="3" t="inlineStr">
        <is>
          <t>Д35</t>
        </is>
      </c>
      <c r="F20" s="26" t="n">
        <v>60392</v>
      </c>
      <c r="G20" s="26" t="n">
        <v>-240238</v>
      </c>
      <c r="H20" s="3" t="inlineStr">
        <is>
          <t>да</t>
        </is>
      </c>
    </row>
    <row r="21">
      <c r="A21" s="3" t="n">
        <v>18</v>
      </c>
      <c r="B21" s="3" t="inlineStr">
        <is>
          <t>План на отм. -6.000</t>
        </is>
      </c>
      <c r="C21" s="3" t="inlineStr">
        <is>
          <t>В</t>
        </is>
      </c>
      <c r="D21" s="3" t="inlineStr">
        <is>
          <t>Вн-17</t>
        </is>
      </c>
      <c r="E21" s="3" t="inlineStr">
        <is>
          <t>Д17*</t>
        </is>
      </c>
      <c r="F21" s="26" t="n">
        <v>78410</v>
      </c>
      <c r="G21" s="26" t="n">
        <v>-240123</v>
      </c>
      <c r="H21" s="3" t="inlineStr">
        <is>
          <t>да</t>
        </is>
      </c>
    </row>
    <row r="22">
      <c r="A22" s="3" t="n">
        <v>19</v>
      </c>
      <c r="B22" s="3" t="inlineStr">
        <is>
          <t>План на отм. -6.000</t>
        </is>
      </c>
      <c r="C22" s="3" t="inlineStr">
        <is>
          <t>В</t>
        </is>
      </c>
      <c r="D22" s="3" t="inlineStr">
        <is>
          <t>Вн-19</t>
        </is>
      </c>
      <c r="E22" s="3" t="inlineStr"/>
      <c r="F22" s="26" t="n">
        <v>66863</v>
      </c>
      <c r="G22" s="26" t="n">
        <v>-240209</v>
      </c>
      <c r="H22" s="3" t="inlineStr">
        <is>
          <t>да</t>
        </is>
      </c>
    </row>
    <row r="23">
      <c r="A23" s="3" t="n">
        <v>20</v>
      </c>
      <c r="B23" s="3" t="inlineStr">
        <is>
          <t>План на отм. -6.000</t>
        </is>
      </c>
      <c r="C23" s="3" t="inlineStr">
        <is>
          <t>В</t>
        </is>
      </c>
      <c r="D23" s="3" t="inlineStr">
        <is>
          <t>Вн-19</t>
        </is>
      </c>
      <c r="E23" s="3" t="inlineStr">
        <is>
          <t>Д17*</t>
        </is>
      </c>
      <c r="F23" s="26" t="n">
        <v>72058</v>
      </c>
      <c r="G23" s="26" t="n">
        <v>-240209</v>
      </c>
      <c r="H23" s="3" t="inlineStr">
        <is>
          <t>да</t>
        </is>
      </c>
    </row>
    <row r="24">
      <c r="A24" s="3" t="n">
        <v>21</v>
      </c>
      <c r="B24" s="3" t="inlineStr">
        <is>
          <t>План на отм. -6.000</t>
        </is>
      </c>
      <c r="C24" s="3" t="inlineStr">
        <is>
          <t>Г</t>
        </is>
      </c>
      <c r="D24" s="3" t="inlineStr">
        <is>
          <t>Вн-6</t>
        </is>
      </c>
      <c r="E24" s="3" t="inlineStr">
        <is>
          <t>Д17*</t>
        </is>
      </c>
      <c r="F24" s="26" t="n">
        <v>38425</v>
      </c>
      <c r="G24" s="26" t="n">
        <v>-227349</v>
      </c>
      <c r="H24" s="3" t="inlineStr">
        <is>
          <t>1 по лит. Г, 2 записаны в лит. А и Б</t>
        </is>
      </c>
    </row>
    <row r="25">
      <c r="A25" s="3" t="n">
        <v>22</v>
      </c>
      <c r="B25" s="3" t="inlineStr">
        <is>
          <t>План на отм. -6.000</t>
        </is>
      </c>
      <c r="C25" s="3" t="inlineStr">
        <is>
          <t>Г</t>
        </is>
      </c>
      <c r="D25" s="3" t="inlineStr">
        <is>
          <t>Вн-6</t>
        </is>
      </c>
      <c r="E25" s="3" t="inlineStr">
        <is>
          <t>Д17*</t>
        </is>
      </c>
      <c r="F25" s="26" t="n">
        <v>43228</v>
      </c>
      <c r="G25" s="26" t="n">
        <v>-240130</v>
      </c>
      <c r="H25" s="3" t="inlineStr">
        <is>
          <t>1 по лит. Г, 2 записаны в лит. А и Б</t>
        </is>
      </c>
    </row>
    <row r="26">
      <c r="A26" s="3" t="n">
        <v>23</v>
      </c>
      <c r="B26" s="3" t="inlineStr">
        <is>
          <t>План на отм. -6.000</t>
        </is>
      </c>
      <c r="C26" s="3" t="inlineStr">
        <is>
          <t>Г</t>
        </is>
      </c>
      <c r="D26" s="3" t="inlineStr">
        <is>
          <t>Вн-6</t>
        </is>
      </c>
      <c r="E26" s="3" t="inlineStr">
        <is>
          <t>Д17*</t>
        </is>
      </c>
      <c r="F26" s="26" t="n">
        <v>53628</v>
      </c>
      <c r="G26" s="26" t="n">
        <v>-240130</v>
      </c>
      <c r="H26" s="3" t="inlineStr">
        <is>
          <t>1 по лит. Г, 2 записаны в лит. А и Б</t>
        </is>
      </c>
    </row>
    <row r="27">
      <c r="A27" s="3" t="n">
        <v>24</v>
      </c>
      <c r="B27" s="3" t="inlineStr">
        <is>
          <t>План на отм. -6.000</t>
        </is>
      </c>
      <c r="C27" s="3" t="inlineStr">
        <is>
          <t>Г</t>
        </is>
      </c>
      <c r="D27" s="3" t="inlineStr">
        <is>
          <t>Вн-10</t>
        </is>
      </c>
      <c r="E27" s="3" t="inlineStr">
        <is>
          <t>Д17*</t>
        </is>
      </c>
      <c r="F27" s="26" t="n">
        <v>38425</v>
      </c>
      <c r="G27" s="26" t="n">
        <v>-203499</v>
      </c>
      <c r="H27" s="3" t="inlineStr">
        <is>
          <t>да</t>
        </is>
      </c>
    </row>
    <row r="28">
      <c r="A28" s="3" t="n">
        <v>25</v>
      </c>
      <c r="B28" s="3" t="inlineStr">
        <is>
          <t>План на отм. -6.000</t>
        </is>
      </c>
      <c r="C28" s="3" t="inlineStr">
        <is>
          <t>Г</t>
        </is>
      </c>
      <c r="D28" s="3" t="inlineStr">
        <is>
          <t>Вн-11</t>
        </is>
      </c>
      <c r="E28" s="3" t="inlineStr"/>
      <c r="F28" s="26" t="n">
        <v>38425</v>
      </c>
      <c r="G28" s="26" t="n">
        <v>-213004</v>
      </c>
      <c r="H28" s="3" t="inlineStr">
        <is>
          <t>да</t>
        </is>
      </c>
    </row>
    <row r="29">
      <c r="A29" s="3" t="n">
        <v>26</v>
      </c>
      <c r="B29" s="3" t="inlineStr">
        <is>
          <t>План на отм. -6.000</t>
        </is>
      </c>
      <c r="C29" s="3" t="inlineStr">
        <is>
          <t>Г</t>
        </is>
      </c>
      <c r="D29" s="3" t="inlineStr">
        <is>
          <t>Вн-12</t>
        </is>
      </c>
      <c r="E29" s="3" t="inlineStr">
        <is>
          <t>Д17*</t>
        </is>
      </c>
      <c r="F29" s="26" t="n">
        <v>38425</v>
      </c>
      <c r="G29" s="26" t="n">
        <v>-217364</v>
      </c>
      <c r="H29" s="3" t="inlineStr">
        <is>
          <t>да</t>
        </is>
      </c>
    </row>
    <row r="30">
      <c r="A30" s="3" t="n">
        <v>27</v>
      </c>
      <c r="B30" s="3" t="inlineStr">
        <is>
          <t>План на отм. -6.000</t>
        </is>
      </c>
      <c r="C30" s="3" t="inlineStr">
        <is>
          <t>Г</t>
        </is>
      </c>
      <c r="D30" s="3" t="inlineStr">
        <is>
          <t>Вн-17</t>
        </is>
      </c>
      <c r="E30" s="3" t="inlineStr"/>
      <c r="F30" s="26" t="n">
        <v>38425</v>
      </c>
      <c r="G30" s="26" t="n">
        <v>-237749</v>
      </c>
      <c r="H30" s="3" t="inlineStr">
        <is>
          <t>1 из 2</t>
        </is>
      </c>
    </row>
    <row r="31">
      <c r="A31" s="3" t="n">
        <v>28</v>
      </c>
      <c r="B31" s="3" t="inlineStr">
        <is>
          <t>План на отм. -6.000</t>
        </is>
      </c>
      <c r="C31" s="3" t="inlineStr">
        <is>
          <t>Г</t>
        </is>
      </c>
      <c r="D31" s="3" t="inlineStr">
        <is>
          <t>Вн-17</t>
        </is>
      </c>
      <c r="E31" s="3" t="inlineStr"/>
      <c r="F31" s="26" t="n">
        <v>47835</v>
      </c>
      <c r="G31" s="26" t="n">
        <v>-240108</v>
      </c>
      <c r="H31" s="3" t="inlineStr">
        <is>
          <t>1 из 2</t>
        </is>
      </c>
    </row>
    <row r="32">
      <c r="A32" s="3" t="n">
        <v>29</v>
      </c>
      <c r="B32" s="3" t="inlineStr">
        <is>
          <t>План на отм. -6.000</t>
        </is>
      </c>
      <c r="C32" s="3" t="inlineStr">
        <is>
          <t>Г</t>
        </is>
      </c>
      <c r="D32" s="3" t="inlineStr">
        <is>
          <t>Вн-20</t>
        </is>
      </c>
      <c r="E32" s="3" t="inlineStr"/>
      <c r="F32" s="26" t="n">
        <v>38425</v>
      </c>
      <c r="G32" s="26" t="n">
        <v>-221999</v>
      </c>
      <c r="H32" s="3" t="inlineStr">
        <is>
          <t>да</t>
        </is>
      </c>
    </row>
    <row r="33">
      <c r="A33" s="3" t="n">
        <v>30</v>
      </c>
      <c r="B33" s="3" t="inlineStr">
        <is>
          <t>План на отм. -6.000</t>
        </is>
      </c>
      <c r="C33" s="3" t="inlineStr">
        <is>
          <t>Г</t>
        </is>
      </c>
      <c r="D33" s="3" t="inlineStr">
        <is>
          <t>Вн-21</t>
        </is>
      </c>
      <c r="E33" s="3" t="inlineStr"/>
      <c r="F33" s="26" t="n">
        <v>38425</v>
      </c>
      <c r="G33" s="26" t="n">
        <v>-231909</v>
      </c>
      <c r="H33" s="3" t="inlineStr">
        <is>
          <t>да</t>
        </is>
      </c>
    </row>
    <row r="34">
      <c r="A34" s="3" t="n">
        <v>31</v>
      </c>
      <c r="B34" s="3" t="inlineStr">
        <is>
          <t>План на отм. -6.000</t>
        </is>
      </c>
      <c r="C34" s="3" t="inlineStr">
        <is>
          <t>Д</t>
        </is>
      </c>
      <c r="D34" s="3" t="inlineStr">
        <is>
          <t>Вн-6</t>
        </is>
      </c>
      <c r="E34" s="3" t="inlineStr"/>
      <c r="F34" s="26" t="n">
        <v>38538</v>
      </c>
      <c r="G34" s="26" t="n">
        <v>-179543</v>
      </c>
      <c r="H34" s="3" t="inlineStr">
        <is>
          <t>да</t>
        </is>
      </c>
    </row>
    <row r="35">
      <c r="A35" s="3" t="n">
        <v>32</v>
      </c>
      <c r="B35" s="3" t="inlineStr">
        <is>
          <t>План на отм. -6.000</t>
        </is>
      </c>
      <c r="C35" s="3" t="inlineStr">
        <is>
          <t>Д</t>
        </is>
      </c>
      <c r="D35" s="3" t="inlineStr">
        <is>
          <t>Вн-6</t>
        </is>
      </c>
      <c r="E35" s="3" t="inlineStr"/>
      <c r="F35" s="26" t="n">
        <v>38538</v>
      </c>
      <c r="G35" s="26" t="n">
        <v>-169143</v>
      </c>
      <c r="H35" s="3" t="inlineStr">
        <is>
          <t>да</t>
        </is>
      </c>
    </row>
    <row r="36">
      <c r="A36" s="3" t="n">
        <v>33</v>
      </c>
      <c r="B36" s="3" t="inlineStr">
        <is>
          <t>План на отм. -6.000</t>
        </is>
      </c>
      <c r="C36" s="3" t="inlineStr">
        <is>
          <t>Д</t>
        </is>
      </c>
      <c r="D36" s="3" t="inlineStr">
        <is>
          <t>Вн-7</t>
        </is>
      </c>
      <c r="E36" s="3" t="inlineStr"/>
      <c r="F36" s="26" t="n">
        <v>38538</v>
      </c>
      <c r="G36" s="26" t="n">
        <v>-174933</v>
      </c>
      <c r="H36" s="3" t="inlineStr">
        <is>
          <t>да</t>
        </is>
      </c>
    </row>
    <row r="37">
      <c r="A37" s="3" t="n">
        <v>34</v>
      </c>
      <c r="B37" s="3" t="inlineStr">
        <is>
          <t>План на отм. -6.000</t>
        </is>
      </c>
      <c r="C37" s="3" t="inlineStr">
        <is>
          <t>Д</t>
        </is>
      </c>
      <c r="D37" s="3" t="inlineStr">
        <is>
          <t>Вн-9</t>
        </is>
      </c>
      <c r="E37" s="3" t="inlineStr">
        <is>
          <t>Д17*</t>
        </is>
      </c>
      <c r="F37" s="26" t="n">
        <v>38538</v>
      </c>
      <c r="G37" s="26" t="n">
        <v>-195128</v>
      </c>
      <c r="H37" s="3" t="inlineStr">
        <is>
          <t>да</t>
        </is>
      </c>
    </row>
    <row r="38">
      <c r="A38" s="3" t="n">
        <v>35</v>
      </c>
      <c r="B38" s="3" t="inlineStr">
        <is>
          <t>План на отм. -6.000</t>
        </is>
      </c>
      <c r="C38" s="3" t="inlineStr">
        <is>
          <t>Д</t>
        </is>
      </c>
      <c r="D38" s="3" t="inlineStr">
        <is>
          <t>Вн-17</t>
        </is>
      </c>
      <c r="E38" s="3" t="inlineStr"/>
      <c r="F38" s="26" t="n">
        <v>38538</v>
      </c>
      <c r="G38" s="26" t="n">
        <v>-189943</v>
      </c>
      <c r="H38" s="3" t="inlineStr">
        <is>
          <t>да</t>
        </is>
      </c>
    </row>
    <row r="39">
      <c r="A39" s="3" t="n">
        <v>36</v>
      </c>
      <c r="B39" s="3" t="inlineStr">
        <is>
          <t>План на отм. 0.000</t>
        </is>
      </c>
      <c r="C39" s="3" t="inlineStr">
        <is>
          <t>А</t>
        </is>
      </c>
      <c r="D39" s="3" t="inlineStr">
        <is>
          <t>Вн-22</t>
        </is>
      </c>
      <c r="E39" s="3" t="inlineStr">
        <is>
          <t>Д17*</t>
        </is>
      </c>
      <c r="F39" s="26" t="n">
        <v>112864</v>
      </c>
      <c r="G39" s="26" t="n">
        <v>2824</v>
      </c>
      <c r="H39" s="3" t="inlineStr">
        <is>
          <t>да</t>
        </is>
      </c>
    </row>
    <row r="40">
      <c r="A40" s="3" t="n">
        <v>37</v>
      </c>
      <c r="B40" s="3" t="inlineStr">
        <is>
          <t>План на отм. 0.000</t>
        </is>
      </c>
      <c r="C40" s="3" t="inlineStr">
        <is>
          <t>А</t>
        </is>
      </c>
      <c r="D40" s="3" t="inlineStr">
        <is>
          <t>Вн-22</t>
        </is>
      </c>
      <c r="E40" s="3" t="inlineStr">
        <is>
          <t>Д17*</t>
        </is>
      </c>
      <c r="F40" s="26" t="n">
        <v>106184</v>
      </c>
      <c r="G40" s="26" t="n">
        <v>2691</v>
      </c>
      <c r="H40" s="3" t="inlineStr">
        <is>
          <t>да</t>
        </is>
      </c>
    </row>
    <row r="41">
      <c r="A41" s="3" t="n">
        <v>38</v>
      </c>
      <c r="B41" s="3" t="inlineStr">
        <is>
          <t>План на отм. 0.000</t>
        </is>
      </c>
      <c r="C41" s="3" t="inlineStr">
        <is>
          <t>А</t>
        </is>
      </c>
      <c r="D41" s="3" t="inlineStr">
        <is>
          <t>Вн-22</t>
        </is>
      </c>
      <c r="E41" s="3" t="inlineStr">
        <is>
          <t>Д17*</t>
        </is>
      </c>
      <c r="F41" s="26" t="n">
        <v>100327</v>
      </c>
      <c r="G41" s="26" t="n">
        <v>2943</v>
      </c>
      <c r="H41" s="3" t="inlineStr">
        <is>
          <t>да</t>
        </is>
      </c>
    </row>
    <row r="42">
      <c r="A42" s="3" t="n">
        <v>39</v>
      </c>
      <c r="B42" s="3" t="inlineStr">
        <is>
          <t>План на отм. 0.000</t>
        </is>
      </c>
      <c r="C42" s="3" t="inlineStr">
        <is>
          <t>А</t>
        </is>
      </c>
      <c r="D42" s="3" t="inlineStr">
        <is>
          <t>Вн-22</t>
        </is>
      </c>
      <c r="E42" s="3" t="inlineStr">
        <is>
          <t>Д17*</t>
        </is>
      </c>
      <c r="F42" s="26" t="n">
        <v>93122</v>
      </c>
      <c r="G42" s="26" t="n">
        <v>2886</v>
      </c>
      <c r="H42" s="3" t="inlineStr">
        <is>
          <t>да</t>
        </is>
      </c>
    </row>
    <row r="43">
      <c r="A43" s="3" t="n">
        <v>40</v>
      </c>
      <c r="B43" s="3" t="inlineStr">
        <is>
          <t>План на отм. 0.000</t>
        </is>
      </c>
      <c r="C43" s="3" t="inlineStr">
        <is>
          <t>А</t>
        </is>
      </c>
      <c r="D43" s="3" t="inlineStr">
        <is>
          <t>Вн-22</t>
        </is>
      </c>
      <c r="E43" s="3" t="inlineStr">
        <is>
          <t>Д17*</t>
        </is>
      </c>
      <c r="F43" s="26" t="n">
        <v>86467</v>
      </c>
      <c r="G43" s="26" t="n">
        <v>2773</v>
      </c>
      <c r="H43" s="3" t="inlineStr">
        <is>
          <t>да</t>
        </is>
      </c>
    </row>
    <row r="44">
      <c r="A44" s="3" t="n">
        <v>41</v>
      </c>
      <c r="B44" s="3" t="inlineStr">
        <is>
          <t>План на отм. 0.000</t>
        </is>
      </c>
      <c r="C44" s="3" t="inlineStr">
        <is>
          <t>Б</t>
        </is>
      </c>
      <c r="D44" s="3" t="inlineStr">
        <is>
          <t>Вн-22</t>
        </is>
      </c>
      <c r="E44" s="3" t="inlineStr">
        <is>
          <t>Д17*</t>
        </is>
      </c>
      <c r="F44" s="26" t="n">
        <v>79305</v>
      </c>
      <c r="G44" s="26" t="n">
        <v>3099</v>
      </c>
      <c r="H44" s="3" t="inlineStr">
        <is>
          <t>да</t>
        </is>
      </c>
    </row>
    <row r="45">
      <c r="A45" s="3" t="n">
        <v>42</v>
      </c>
      <c r="B45" s="3" t="inlineStr">
        <is>
          <t>План на отм. 0.000</t>
        </is>
      </c>
      <c r="C45" s="3" t="inlineStr">
        <is>
          <t>Б</t>
        </is>
      </c>
      <c r="D45" s="3" t="inlineStr">
        <is>
          <t>Вн-22</t>
        </is>
      </c>
      <c r="E45" s="3" t="inlineStr">
        <is>
          <t>Д17*</t>
        </is>
      </c>
      <c r="F45" s="26" t="n">
        <v>72445</v>
      </c>
      <c r="G45" s="26" t="n">
        <v>3048</v>
      </c>
      <c r="H45" s="3" t="inlineStr">
        <is>
          <t>да</t>
        </is>
      </c>
    </row>
    <row r="46">
      <c r="A46" s="3" t="n">
        <v>43</v>
      </c>
      <c r="B46" s="3" t="inlineStr">
        <is>
          <t>План на отм. 0.000</t>
        </is>
      </c>
      <c r="C46" s="3" t="inlineStr">
        <is>
          <t>Б</t>
        </is>
      </c>
      <c r="D46" s="3" t="inlineStr">
        <is>
          <t>Вн-22</t>
        </is>
      </c>
      <c r="E46" s="3" t="inlineStr">
        <is>
          <t>Д17*</t>
        </is>
      </c>
      <c r="F46" s="26" t="n">
        <v>64804</v>
      </c>
      <c r="G46" s="26" t="n">
        <v>2917</v>
      </c>
      <c r="H46" s="3" t="inlineStr">
        <is>
          <t>да</t>
        </is>
      </c>
    </row>
    <row r="47">
      <c r="A47" s="3" t="n">
        <v>44</v>
      </c>
      <c r="B47" s="3" t="inlineStr">
        <is>
          <t>План на отм. 0.000</t>
        </is>
      </c>
      <c r="C47" s="3" t="inlineStr">
        <is>
          <t>Б</t>
        </is>
      </c>
      <c r="D47" s="3" t="inlineStr">
        <is>
          <t>Вн-22</t>
        </is>
      </c>
      <c r="E47" s="3" t="inlineStr">
        <is>
          <t>Д17*</t>
        </is>
      </c>
      <c r="F47" s="26" t="n">
        <v>59604</v>
      </c>
      <c r="G47" s="26" t="n">
        <v>2985</v>
      </c>
      <c r="H47" s="3" t="inlineStr">
        <is>
          <t>да</t>
        </is>
      </c>
    </row>
    <row r="48">
      <c r="A48" s="3" t="n">
        <v>45</v>
      </c>
      <c r="B48" s="3" t="inlineStr">
        <is>
          <t>План на отм. 0.000</t>
        </is>
      </c>
      <c r="C48" s="3" t="inlineStr">
        <is>
          <t>Б</t>
        </is>
      </c>
      <c r="D48" s="3" t="inlineStr">
        <is>
          <t>Вн-22</t>
        </is>
      </c>
      <c r="E48" s="3" t="inlineStr">
        <is>
          <t>Д17*</t>
        </is>
      </c>
      <c r="F48" s="26" t="n">
        <v>53064</v>
      </c>
      <c r="G48" s="26" t="n">
        <v>2948</v>
      </c>
      <c r="H48" s="3" t="inlineStr">
        <is>
          <t>да</t>
        </is>
      </c>
    </row>
    <row r="49">
      <c r="A49" s="3" t="n">
        <v>46</v>
      </c>
      <c r="B49" s="3" t="inlineStr">
        <is>
          <t>План на отм. 0.000</t>
        </is>
      </c>
      <c r="C49" s="3" t="inlineStr">
        <is>
          <t>В</t>
        </is>
      </c>
      <c r="D49" s="3" t="inlineStr">
        <is>
          <t>Вн-22</t>
        </is>
      </c>
      <c r="E49" s="3" t="inlineStr">
        <is>
          <t>Д35</t>
        </is>
      </c>
      <c r="F49" s="26" t="n">
        <v>45611</v>
      </c>
      <c r="G49" s="26" t="n">
        <v>3036</v>
      </c>
      <c r="H49" s="3" t="inlineStr">
        <is>
          <t>1 из 4</t>
        </is>
      </c>
    </row>
    <row r="50">
      <c r="A50" s="3" t="n">
        <v>47</v>
      </c>
      <c r="B50" s="3" t="inlineStr">
        <is>
          <t>План на отм. 0.000</t>
        </is>
      </c>
      <c r="C50" s="3" t="inlineStr">
        <is>
          <t>В</t>
        </is>
      </c>
      <c r="D50" s="3" t="inlineStr">
        <is>
          <t>Вн-22</t>
        </is>
      </c>
      <c r="E50" s="3" t="inlineStr">
        <is>
          <t>Д17*</t>
        </is>
      </c>
      <c r="F50" s="26" t="n">
        <v>39399</v>
      </c>
      <c r="G50" s="26" t="n">
        <v>2969</v>
      </c>
      <c r="H50" s="3" t="inlineStr">
        <is>
          <t>1 из 4</t>
        </is>
      </c>
    </row>
    <row r="51">
      <c r="A51" s="3" t="n">
        <v>48</v>
      </c>
      <c r="B51" s="3" t="inlineStr">
        <is>
          <t>План на отм. 0.000</t>
        </is>
      </c>
      <c r="C51" s="3" t="inlineStr">
        <is>
          <t>В</t>
        </is>
      </c>
      <c r="D51" s="3" t="inlineStr">
        <is>
          <t>Вн-22</t>
        </is>
      </c>
      <c r="E51" s="3" t="inlineStr">
        <is>
          <t>Д17*</t>
        </is>
      </c>
      <c r="F51" s="26" t="n">
        <v>33459</v>
      </c>
      <c r="G51" s="26" t="n">
        <v>3046</v>
      </c>
      <c r="H51" s="3" t="inlineStr">
        <is>
          <t>1 из 4</t>
        </is>
      </c>
    </row>
    <row r="52">
      <c r="A52" s="3" t="n">
        <v>49</v>
      </c>
      <c r="B52" s="3" t="inlineStr">
        <is>
          <t>План на отм. 0.000</t>
        </is>
      </c>
      <c r="C52" s="3" t="inlineStr">
        <is>
          <t>В</t>
        </is>
      </c>
      <c r="D52" s="3" t="inlineStr">
        <is>
          <t>Вн-22</t>
        </is>
      </c>
      <c r="E52" s="3" t="inlineStr">
        <is>
          <t>Д17*</t>
        </is>
      </c>
      <c r="F52" s="26" t="n">
        <v>26027</v>
      </c>
      <c r="G52" s="26" t="n">
        <v>2978</v>
      </c>
      <c r="H52" s="3" t="inlineStr">
        <is>
          <t>1 из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9" customWidth="1" min="4" max="4"/>
    <col width="9" customWidth="1" min="5" max="5"/>
    <col width="10" customWidth="1" min="6" max="6"/>
    <col width="8" customWidth="1" min="7" max="7"/>
    <col width="13" customWidth="1" min="8" max="8"/>
    <col width="9" customWidth="1" min="9" max="9"/>
    <col width="12" customWidth="1" min="10" max="10"/>
    <col width="40" customWidth="1" min="11" max="11"/>
  </cols>
  <sheetData>
    <row r="1">
      <c r="A1" s="1" t="inlineStr">
        <is>
          <t>Позиции КП, не вошедшие в спецификацию (нет на чертежах или на чертежах меньше, чем в КП)</t>
        </is>
      </c>
    </row>
    <row r="3" ht="60" customHeight="1">
      <c r="A3" s="2" t="inlineStr">
        <is>
          <t>№</t>
        </is>
      </c>
      <c r="B3" s="2" t="inlineStr">
        <is>
          <t>Литер</t>
        </is>
      </c>
      <c r="C3" s="2" t="inlineStr">
        <is>
          <t>Марка</t>
        </is>
      </c>
      <c r="D3" s="2" t="inlineStr">
        <is>
          <t>Длина, мм</t>
        </is>
      </c>
      <c r="E3" s="2" t="inlineStr">
        <is>
          <t>Высота, мм</t>
        </is>
      </c>
      <c r="F3" s="2" t="inlineStr">
        <is>
          <t>Площадь 1 шт по КП, м²</t>
        </is>
      </c>
      <c r="G3" s="2" t="inlineStr">
        <is>
          <t>В КП, шт</t>
        </is>
      </c>
      <c r="H3" s="2" t="inlineStr">
        <is>
          <t>Вошло в спецификацию, шт</t>
        </is>
      </c>
      <c r="I3" s="2" t="inlineStr">
        <is>
          <t>Не вошло, шт</t>
        </is>
      </c>
      <c r="J3" s="2" t="inlineStr">
        <is>
          <t>Площадь не вошедшего, м²</t>
        </is>
      </c>
      <c r="K3" s="2" t="inlineStr">
        <is>
          <t>Причина</t>
        </is>
      </c>
    </row>
    <row r="4">
      <c r="A4" s="3" t="n">
        <v>1</v>
      </c>
      <c r="B4" s="3" t="inlineStr">
        <is>
          <t>Д</t>
        </is>
      </c>
      <c r="C4" s="3" t="inlineStr">
        <is>
          <t>Вн-10</t>
        </is>
      </c>
      <c r="D4" s="3" t="n">
        <v>4160</v>
      </c>
      <c r="E4" s="3" t="n">
        <v>4820</v>
      </c>
      <c r="F4" s="4" t="n">
        <v>20.16</v>
      </c>
      <c r="G4" s="3" t="n">
        <v>1</v>
      </c>
      <c r="H4" s="3" t="n">
        <v>0</v>
      </c>
      <c r="I4" s="3">
        <f>G4-H4</f>
        <v/>
      </c>
      <c r="J4" s="5">
        <f>ROUND(I4*F4,2)</f>
        <v/>
      </c>
      <c r="K4" s="6" t="inlineStr">
        <is>
          <t>нет на чертежах</t>
        </is>
      </c>
    </row>
    <row r="5">
      <c r="A5" s="3" t="n">
        <v>2</v>
      </c>
      <c r="B5" s="3" t="inlineStr">
        <is>
          <t>без литера</t>
        </is>
      </c>
      <c r="C5" s="3" t="inlineStr">
        <is>
          <t>Вн-6</t>
        </is>
      </c>
      <c r="D5" s="3" t="n">
        <v>4130</v>
      </c>
      <c r="E5" s="3" t="n">
        <v>4800</v>
      </c>
      <c r="F5" s="4">
        <f>ROUND(D5*E5/1000000,2)</f>
        <v/>
      </c>
      <c r="G5" s="3" t="n">
        <v>1</v>
      </c>
      <c r="H5" s="3" t="n">
        <v>0</v>
      </c>
      <c r="I5" s="3">
        <f>G5-H5</f>
        <v/>
      </c>
      <c r="J5" s="5">
        <f>ROUND(I5*F5,2)</f>
        <v/>
      </c>
      <c r="K5" s="6" t="inlineStr">
        <is>
          <t>остаток КП без литера, по размеру к строкам договора не подходит</t>
        </is>
      </c>
    </row>
    <row r="6">
      <c r="A6" s="3" t="n">
        <v>3</v>
      </c>
      <c r="B6" s="3" t="inlineStr">
        <is>
          <t>без литера</t>
        </is>
      </c>
      <c r="C6" s="3" t="inlineStr">
        <is>
          <t>Вн-9</t>
        </is>
      </c>
      <c r="D6" s="3" t="n">
        <v>4060</v>
      </c>
      <c r="E6" s="3" t="n">
        <v>4800</v>
      </c>
      <c r="F6" s="4">
        <f>ROUND(D6*E6/1000000,2)</f>
        <v/>
      </c>
      <c r="G6" s="3" t="n">
        <v>1</v>
      </c>
      <c r="H6" s="3" t="n">
        <v>0</v>
      </c>
      <c r="I6" s="3">
        <f>G6-H6</f>
        <v/>
      </c>
      <c r="J6" s="5">
        <f>ROUND(I6*F6,2)</f>
        <v/>
      </c>
      <c r="K6" s="6" t="inlineStr">
        <is>
          <t>остаток КП без литера, по размеру к строкам договора не подходит</t>
        </is>
      </c>
    </row>
    <row r="7">
      <c r="A7" s="3" t="n">
        <v>4</v>
      </c>
      <c r="B7" s="3" t="inlineStr">
        <is>
          <t>без литера</t>
        </is>
      </c>
      <c r="C7" s="3" t="inlineStr">
        <is>
          <t>Вн-16</t>
        </is>
      </c>
      <c r="D7" s="3" t="n">
        <v>1320</v>
      </c>
      <c r="E7" s="3" t="n">
        <v>4800</v>
      </c>
      <c r="F7" s="4">
        <f>ROUND(D7*E7/1000000,2)</f>
        <v/>
      </c>
      <c r="G7" s="3" t="n">
        <v>1</v>
      </c>
      <c r="H7" s="3" t="n">
        <v>0</v>
      </c>
      <c r="I7" s="3">
        <f>G7-H7</f>
        <v/>
      </c>
      <c r="J7" s="5">
        <f>ROUND(I7*F7,2)</f>
        <v/>
      </c>
      <c r="K7" s="6" t="inlineStr">
        <is>
          <t>остаток КП без литера, по размеру к строкам договора не подходит</t>
        </is>
      </c>
    </row>
    <row r="8">
      <c r="A8" s="3" t="n">
        <v>5</v>
      </c>
      <c r="B8" s="3" t="inlineStr">
        <is>
          <t>без литера</t>
        </is>
      </c>
      <c r="C8" s="3" t="inlineStr">
        <is>
          <t>Вн-16</t>
        </is>
      </c>
      <c r="D8" s="3" t="n">
        <v>1020</v>
      </c>
      <c r="E8" s="3" t="n">
        <v>4800</v>
      </c>
      <c r="F8" s="4">
        <f>ROUND(D8*E8/1000000,2)</f>
        <v/>
      </c>
      <c r="G8" s="3" t="n">
        <v>1</v>
      </c>
      <c r="H8" s="3" t="n">
        <v>0</v>
      </c>
      <c r="I8" s="3">
        <f>G8-H8</f>
        <v/>
      </c>
      <c r="J8" s="5">
        <f>ROUND(I8*F8,2)</f>
        <v/>
      </c>
      <c r="K8" s="6" t="inlineStr">
        <is>
          <t>остаток КП без литера, по размеру к строкам договора не подходит</t>
        </is>
      </c>
    </row>
    <row r="9">
      <c r="A9" s="3" t="n">
        <v>6</v>
      </c>
      <c r="B9" s="3" t="inlineStr">
        <is>
          <t>без литера</t>
        </is>
      </c>
      <c r="C9" s="3" t="inlineStr">
        <is>
          <t>Вн-17</t>
        </is>
      </c>
      <c r="D9" s="3" t="n">
        <v>4020</v>
      </c>
      <c r="E9" s="3" t="n">
        <v>4800</v>
      </c>
      <c r="F9" s="4">
        <f>ROUND(D9*E9/1000000,2)</f>
        <v/>
      </c>
      <c r="G9" s="3" t="n">
        <v>1</v>
      </c>
      <c r="H9" s="3" t="n">
        <v>0</v>
      </c>
      <c r="I9" s="3">
        <f>G9-H9</f>
        <v/>
      </c>
      <c r="J9" s="5">
        <f>ROUND(I9*F9,2)</f>
        <v/>
      </c>
      <c r="K9" s="6" t="inlineStr">
        <is>
          <t>остаток КП без литера, по размеру к строкам договора не подходит</t>
        </is>
      </c>
    </row>
    <row r="10">
      <c r="A10" s="3" t="n">
        <v>7</v>
      </c>
      <c r="B10" s="3" t="inlineStr">
        <is>
          <t>без литера</t>
        </is>
      </c>
      <c r="C10" s="3" t="inlineStr">
        <is>
          <t>Вн-17</t>
        </is>
      </c>
      <c r="D10" s="3" t="n">
        <v>3750</v>
      </c>
      <c r="E10" s="3" t="n">
        <v>4800</v>
      </c>
      <c r="F10" s="4">
        <f>ROUND(D10*E10/1000000,2)</f>
        <v/>
      </c>
      <c r="G10" s="3" t="n">
        <v>1</v>
      </c>
      <c r="H10" s="3" t="n">
        <v>0</v>
      </c>
      <c r="I10" s="3">
        <f>G10-H10</f>
        <v/>
      </c>
      <c r="J10" s="5">
        <f>ROUND(I10*F10,2)</f>
        <v/>
      </c>
      <c r="K10" s="6" t="inlineStr">
        <is>
          <t>остаток КП без литера, по размеру к строкам договора не подходит</t>
        </is>
      </c>
    </row>
    <row r="11">
      <c r="A11" s="3" t="n">
        <v>8</v>
      </c>
      <c r="B11" s="3" t="inlineStr">
        <is>
          <t>без литера</t>
        </is>
      </c>
      <c r="C11" s="3" t="inlineStr">
        <is>
          <t>Вн-19</t>
        </is>
      </c>
      <c r="D11" s="3" t="n">
        <v>2860</v>
      </c>
      <c r="E11" s="3" t="n">
        <v>4800</v>
      </c>
      <c r="F11" s="4">
        <f>ROUND(D11*E11/1000000,2)</f>
        <v/>
      </c>
      <c r="G11" s="3" t="n">
        <v>1</v>
      </c>
      <c r="H11" s="3" t="n">
        <v>0</v>
      </c>
      <c r="I11" s="3">
        <f>G11-H11</f>
        <v/>
      </c>
      <c r="J11" s="5">
        <f>ROUND(I11*F11,2)</f>
        <v/>
      </c>
      <c r="K11" s="6" t="inlineStr">
        <is>
          <t>остаток КП без литера, по размеру к строкам договора не подходит</t>
        </is>
      </c>
    </row>
    <row r="12">
      <c r="A12" s="3" t="n">
        <v>9</v>
      </c>
      <c r="B12" s="3" t="inlineStr">
        <is>
          <t>без литера</t>
        </is>
      </c>
      <c r="C12" s="3" t="inlineStr">
        <is>
          <t>Вн-19</t>
        </is>
      </c>
      <c r="D12" s="3" t="n">
        <v>2920</v>
      </c>
      <c r="E12" s="3" t="n">
        <v>4800</v>
      </c>
      <c r="F12" s="4">
        <f>ROUND(D12*E12/1000000,2)</f>
        <v/>
      </c>
      <c r="G12" s="3" t="n">
        <v>1</v>
      </c>
      <c r="H12" s="3" t="n">
        <v>0</v>
      </c>
      <c r="I12" s="3">
        <f>G12-H12</f>
        <v/>
      </c>
      <c r="J12" s="5">
        <f>ROUND(I12*F12,2)</f>
        <v/>
      </c>
      <c r="K12" s="6" t="inlineStr">
        <is>
          <t>остаток КП без литера, по размеру к строкам договора не подходит</t>
        </is>
      </c>
    </row>
    <row r="13">
      <c r="A13" s="7" t="n"/>
      <c r="B13" s="7" t="n"/>
      <c r="C13" s="8" t="inlineStr">
        <is>
          <t>ИТОГО</t>
        </is>
      </c>
      <c r="D13" s="7" t="n"/>
      <c r="E13" s="7" t="n"/>
      <c r="F13" s="9" t="n"/>
      <c r="G13" s="8">
        <f>SUM(G4:G12)</f>
        <v/>
      </c>
      <c r="H13" s="8">
        <f>SUM(H4:H12)</f>
        <v/>
      </c>
      <c r="I13" s="8">
        <f>SUM(I4:I12)</f>
        <v/>
      </c>
      <c r="J13" s="10">
        <f>SUM(J4:J12)</f>
        <v/>
      </c>
      <c r="K13" s="11" t="n"/>
    </row>
  </sheetData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2" customWidth="1" min="8" max="8"/>
    <col width="11" customWidth="1" min="9" max="9"/>
    <col width="10" customWidth="1" min="10" max="10"/>
    <col width="17" customWidth="1" min="11" max="11"/>
  </cols>
  <sheetData>
    <row r="1">
      <c r="A1" s="12" t="inlineStr">
        <is>
          <t>Сверка с КП. В спецификации площадь по КП = ширина × высота из КП (как в таблице заказчика)</t>
        </is>
      </c>
    </row>
    <row r="2">
      <c r="A2" t="inlineStr">
        <is>
          <t>«Площадь в КП» — цифра из самого КП: она меньше, т.к. двери посчитаны отдельными КП от 13.04</t>
        </is>
      </c>
    </row>
    <row r="3">
      <c r="A3" s="12" t="inlineStr">
        <is>
          <t>1. Позиции КП на витражи</t>
        </is>
      </c>
    </row>
    <row r="4" ht="60" customHeight="1">
      <c r="A4" s="2" t="inlineStr">
        <is>
          <t>№</t>
        </is>
      </c>
      <c r="B4" s="2" t="inlineStr">
        <is>
          <t>КП</t>
        </is>
      </c>
      <c r="C4" s="2" t="inlineStr">
        <is>
          <t>№ в КП</t>
        </is>
      </c>
      <c r="D4" s="2" t="inlineStr">
        <is>
          <t>Марка</t>
        </is>
      </c>
      <c r="E4" s="2" t="inlineStr">
        <is>
          <t>Ширина, мм</t>
        </is>
      </c>
      <c r="F4" s="2" t="inlineStr">
        <is>
          <t>Высота, мм</t>
        </is>
      </c>
      <c r="G4" s="2" t="inlineStr">
        <is>
          <t>Кол-во, шт</t>
        </is>
      </c>
      <c r="H4" s="27" t="inlineStr">
        <is>
          <t>Площадь по размерам КП, м²</t>
        </is>
      </c>
      <c r="I4" s="27" t="inlineStr">
        <is>
          <t>Площадь в КП, м²</t>
        </is>
      </c>
      <c r="J4" s="27" t="inlineStr">
        <is>
          <t>Разница, м²</t>
        </is>
      </c>
      <c r="K4" s="2" t="inlineStr">
        <is>
          <t>Куда отнесено</t>
        </is>
      </c>
    </row>
    <row r="5">
      <c r="A5" s="3" t="n">
        <v>1</v>
      </c>
      <c r="B5" s="3" t="inlineStr">
        <is>
          <t>Блок А 06.04</t>
        </is>
      </c>
      <c r="C5" s="3" t="n">
        <v>1</v>
      </c>
      <c r="D5" s="3" t="inlineStr">
        <is>
          <t>Вн-6</t>
        </is>
      </c>
      <c r="E5" s="3" t="n">
        <v>4150</v>
      </c>
      <c r="F5" s="3" t="n">
        <v>4800</v>
      </c>
      <c r="G5" s="3" t="n">
        <v>3</v>
      </c>
      <c r="H5" s="4">
        <f>ROUND(E5*F5*G5/1000000,2)</f>
        <v/>
      </c>
      <c r="I5" s="4" t="n">
        <v>48.63</v>
      </c>
      <c r="J5" s="4">
        <f>H5-I5</f>
        <v/>
      </c>
      <c r="K5" s="3" t="inlineStr">
        <is>
          <t>А</t>
        </is>
      </c>
    </row>
    <row r="6">
      <c r="A6" s="3" t="n">
        <v>2</v>
      </c>
      <c r="B6" s="3" t="inlineStr">
        <is>
          <t>Блок А 06.04</t>
        </is>
      </c>
      <c r="C6" s="3" t="n">
        <v>2</v>
      </c>
      <c r="D6" s="3" t="inlineStr">
        <is>
          <t>Вн-8</t>
        </is>
      </c>
      <c r="E6" s="3" t="n">
        <v>2570</v>
      </c>
      <c r="F6" s="3" t="n">
        <v>4800</v>
      </c>
      <c r="G6" s="3" t="n">
        <v>1</v>
      </c>
      <c r="H6" s="4">
        <f>ROUND(E6*F6*G6/1000000,2)</f>
        <v/>
      </c>
      <c r="I6" s="4" t="n">
        <v>12.08</v>
      </c>
      <c r="J6" s="4">
        <f>H6-I6</f>
        <v/>
      </c>
      <c r="K6" s="3" t="inlineStr">
        <is>
          <t>А</t>
        </is>
      </c>
    </row>
    <row r="7">
      <c r="A7" s="3" t="n">
        <v>3</v>
      </c>
      <c r="B7" s="3" t="inlineStr">
        <is>
          <t>Блок А 06.04</t>
        </is>
      </c>
      <c r="C7" s="3" t="n">
        <v>3</v>
      </c>
      <c r="D7" s="3" t="inlineStr">
        <is>
          <t>Вн-15</t>
        </is>
      </c>
      <c r="E7" s="3" t="n">
        <v>1170</v>
      </c>
      <c r="F7" s="3" t="n">
        <v>4800</v>
      </c>
      <c r="G7" s="3" t="n">
        <v>1</v>
      </c>
      <c r="H7" s="4">
        <f>ROUND(E7*F7*G7/1000000,2)</f>
        <v/>
      </c>
      <c r="I7" s="4" t="n">
        <v>2.64</v>
      </c>
      <c r="J7" s="4">
        <f>H7-I7</f>
        <v/>
      </c>
      <c r="K7" s="3" t="inlineStr">
        <is>
          <t>А</t>
        </is>
      </c>
    </row>
    <row r="8">
      <c r="A8" s="3" t="n">
        <v>4</v>
      </c>
      <c r="B8" s="3" t="inlineStr">
        <is>
          <t>Блок А 06.04</t>
        </is>
      </c>
      <c r="C8" s="3" t="n">
        <v>4</v>
      </c>
      <c r="D8" s="3" t="inlineStr">
        <is>
          <t>Вн-14</t>
        </is>
      </c>
      <c r="E8" s="3" t="n">
        <v>2320</v>
      </c>
      <c r="F8" s="3" t="n">
        <v>4800</v>
      </c>
      <c r="G8" s="3" t="n">
        <v>1</v>
      </c>
      <c r="H8" s="4">
        <f>ROUND(E8*F8*G8/1000000,2)</f>
        <v/>
      </c>
      <c r="I8" s="4" t="n">
        <v>7.55</v>
      </c>
      <c r="J8" s="4">
        <f>H8-I8</f>
        <v/>
      </c>
      <c r="K8" s="3" t="inlineStr">
        <is>
          <t>А</t>
        </is>
      </c>
    </row>
    <row r="9">
      <c r="A9" s="3" t="n">
        <v>5</v>
      </c>
      <c r="B9" s="3" t="inlineStr">
        <is>
          <t>Блок Б 06.04</t>
        </is>
      </c>
      <c r="C9" s="3" t="n">
        <v>1</v>
      </c>
      <c r="D9" s="3" t="inlineStr">
        <is>
          <t>Вн-6</t>
        </is>
      </c>
      <c r="E9" s="3" t="n">
        <v>4040</v>
      </c>
      <c r="F9" s="3" t="n">
        <v>4800</v>
      </c>
      <c r="G9" s="3" t="n">
        <v>1</v>
      </c>
      <c r="H9" s="4">
        <f>ROUND(E9*F9*G9/1000000,2)</f>
        <v/>
      </c>
      <c r="I9" s="4" t="n">
        <v>15.69</v>
      </c>
      <c r="J9" s="4">
        <f>H9-I9</f>
        <v/>
      </c>
      <c r="K9" s="3" t="inlineStr">
        <is>
          <t>Б</t>
        </is>
      </c>
    </row>
    <row r="10">
      <c r="A10" s="3" t="n">
        <v>6</v>
      </c>
      <c r="B10" s="3" t="inlineStr">
        <is>
          <t>Блок Б 06.04</t>
        </is>
      </c>
      <c r="C10" s="3" t="n">
        <v>2</v>
      </c>
      <c r="D10" s="3" t="inlineStr">
        <is>
          <t>Вн-17</t>
        </is>
      </c>
      <c r="E10" s="3" t="n">
        <v>4060</v>
      </c>
      <c r="F10" s="3" t="n">
        <v>4800</v>
      </c>
      <c r="G10" s="3" t="n">
        <v>1</v>
      </c>
      <c r="H10" s="4">
        <f>ROUND(E10*F10*G10/1000000,2)</f>
        <v/>
      </c>
      <c r="I10" s="4" t="n">
        <v>19.08</v>
      </c>
      <c r="J10" s="4">
        <f>H10-I10</f>
        <v/>
      </c>
      <c r="K10" s="3" t="inlineStr">
        <is>
          <t>Б</t>
        </is>
      </c>
    </row>
    <row r="11">
      <c r="A11" s="3" t="n">
        <v>7</v>
      </c>
      <c r="B11" s="3" t="inlineStr">
        <is>
          <t>Блок Б 06.04</t>
        </is>
      </c>
      <c r="C11" s="3" t="n">
        <v>3</v>
      </c>
      <c r="D11" s="3" t="inlineStr">
        <is>
          <t>Вн-6</t>
        </is>
      </c>
      <c r="E11" s="3" t="n">
        <v>4060</v>
      </c>
      <c r="F11" s="3" t="n">
        <v>4800</v>
      </c>
      <c r="G11" s="3" t="n">
        <v>1</v>
      </c>
      <c r="H11" s="4">
        <f>ROUND(E11*F11*G11/1000000,2)</f>
        <v/>
      </c>
      <c r="I11" s="4" t="n">
        <v>15.79</v>
      </c>
      <c r="J11" s="4">
        <f>H11-I11</f>
        <v/>
      </c>
      <c r="K11" s="3" t="inlineStr">
        <is>
          <t>Б</t>
        </is>
      </c>
    </row>
    <row r="12">
      <c r="A12" s="3" t="n">
        <v>8</v>
      </c>
      <c r="B12" s="3" t="inlineStr">
        <is>
          <t>Блок Б 06.04</t>
        </is>
      </c>
      <c r="C12" s="3" t="n">
        <v>4</v>
      </c>
      <c r="D12" s="3" t="inlineStr">
        <is>
          <t>Вн-15</t>
        </is>
      </c>
      <c r="E12" s="3" t="n">
        <v>1250</v>
      </c>
      <c r="F12" s="3" t="n">
        <v>4800</v>
      </c>
      <c r="G12" s="3" t="n">
        <v>1</v>
      </c>
      <c r="H12" s="4">
        <f>ROUND(E12*F12*G12/1000000,2)</f>
        <v/>
      </c>
      <c r="I12" s="4" t="n">
        <v>2.83</v>
      </c>
      <c r="J12" s="4">
        <f>H12-I12</f>
        <v/>
      </c>
      <c r="K12" s="3" t="inlineStr">
        <is>
          <t>Б</t>
        </is>
      </c>
    </row>
    <row r="13">
      <c r="A13" s="3" t="n">
        <v>9</v>
      </c>
      <c r="B13" s="3" t="inlineStr">
        <is>
          <t>Блок Б 06.04</t>
        </is>
      </c>
      <c r="C13" s="3" t="n">
        <v>5</v>
      </c>
      <c r="D13" s="3" t="inlineStr">
        <is>
          <t>Вн-18</t>
        </is>
      </c>
      <c r="E13" s="3" t="n">
        <v>2480</v>
      </c>
      <c r="F13" s="3" t="n">
        <v>4800</v>
      </c>
      <c r="G13" s="3" t="n">
        <v>1</v>
      </c>
      <c r="H13" s="4">
        <f>ROUND(E13*F13*G13/1000000,2)</f>
        <v/>
      </c>
      <c r="I13" s="4" t="n">
        <v>8.300000000000001</v>
      </c>
      <c r="J13" s="4">
        <f>H13-I13</f>
        <v/>
      </c>
      <c r="K13" s="3" t="inlineStr">
        <is>
          <t>Б</t>
        </is>
      </c>
    </row>
    <row r="14">
      <c r="A14" s="3" t="n">
        <v>10</v>
      </c>
      <c r="B14" s="3" t="inlineStr">
        <is>
          <t>Блок Б 06.04</t>
        </is>
      </c>
      <c r="C14" s="3" t="n">
        <v>6</v>
      </c>
      <c r="D14" s="3" t="inlineStr">
        <is>
          <t>Вн-6</t>
        </is>
      </c>
      <c r="E14" s="3" t="n">
        <v>4080</v>
      </c>
      <c r="F14" s="3" t="n">
        <v>4800</v>
      </c>
      <c r="G14" s="3" t="n">
        <v>1</v>
      </c>
      <c r="H14" s="4">
        <f>ROUND(E14*F14*G14/1000000,2)</f>
        <v/>
      </c>
      <c r="I14" s="4" t="n">
        <v>15.88</v>
      </c>
      <c r="J14" s="4">
        <f>H14-I14</f>
        <v/>
      </c>
      <c r="K14" s="3" t="inlineStr">
        <is>
          <t>Б</t>
        </is>
      </c>
    </row>
    <row r="15">
      <c r="A15" s="3" t="n">
        <v>11</v>
      </c>
      <c r="B15" s="3" t="inlineStr">
        <is>
          <t>КП без шапки 06.04 (лит. Д)</t>
        </is>
      </c>
      <c r="C15" s="3" t="n">
        <v>1</v>
      </c>
      <c r="D15" s="3" t="inlineStr">
        <is>
          <t>Вн-10</t>
        </is>
      </c>
      <c r="E15" s="3" t="n">
        <v>4200</v>
      </c>
      <c r="F15" s="3" t="n">
        <v>4800</v>
      </c>
      <c r="G15" s="3" t="n">
        <v>1</v>
      </c>
      <c r="H15" s="4">
        <f>ROUND(E15*F15*G15/1000000,2)</f>
        <v/>
      </c>
      <c r="I15" s="4" t="n">
        <v>16.45</v>
      </c>
      <c r="J15" s="4">
        <f>H15-I15</f>
        <v/>
      </c>
      <c r="K15" s="3" t="inlineStr">
        <is>
          <t>не вошло</t>
        </is>
      </c>
    </row>
    <row r="16">
      <c r="A16" s="3" t="n">
        <v>12</v>
      </c>
      <c r="B16" s="3" t="inlineStr">
        <is>
          <t>КП без шапки 06.04 (лит. Д)</t>
        </is>
      </c>
      <c r="C16" s="3" t="n">
        <v>2</v>
      </c>
      <c r="D16" s="3" t="inlineStr">
        <is>
          <t>Вн-9</t>
        </is>
      </c>
      <c r="E16" s="3" t="n">
        <v>4100</v>
      </c>
      <c r="F16" s="3" t="n">
        <v>4800</v>
      </c>
      <c r="G16" s="3" t="n">
        <v>1</v>
      </c>
      <c r="H16" s="4">
        <f>ROUND(E16*F16*G16/1000000,2)</f>
        <v/>
      </c>
      <c r="I16" s="4" t="n">
        <v>15.98</v>
      </c>
      <c r="J16" s="4">
        <f>H16-I16</f>
        <v/>
      </c>
      <c r="K16" s="3" t="inlineStr">
        <is>
          <t>Д</t>
        </is>
      </c>
    </row>
    <row r="17">
      <c r="A17" s="3" t="n">
        <v>13</v>
      </c>
      <c r="B17" s="3" t="inlineStr">
        <is>
          <t>КП без шапки 06.04 (лит. Д)</t>
        </is>
      </c>
      <c r="C17" s="3" t="n">
        <v>3</v>
      </c>
      <c r="D17" s="3" t="inlineStr">
        <is>
          <t>Вн-17</t>
        </is>
      </c>
      <c r="E17" s="3" t="n">
        <v>3780</v>
      </c>
      <c r="F17" s="3" t="n">
        <v>4800</v>
      </c>
      <c r="G17" s="3" t="n">
        <v>1</v>
      </c>
      <c r="H17" s="4">
        <f>ROUND(E17*F17*G17/1000000,2)</f>
        <v/>
      </c>
      <c r="I17" s="4" t="n">
        <v>17.77</v>
      </c>
      <c r="J17" s="4">
        <f>H17-I17</f>
        <v/>
      </c>
      <c r="K17" s="3" t="inlineStr">
        <is>
          <t>Д</t>
        </is>
      </c>
    </row>
    <row r="18">
      <c r="A18" s="3" t="n">
        <v>14</v>
      </c>
      <c r="B18" s="3" t="inlineStr">
        <is>
          <t>КП без шапки 06.04 (лит. Д)</t>
        </is>
      </c>
      <c r="C18" s="3" t="n">
        <v>4</v>
      </c>
      <c r="D18" s="3" t="inlineStr">
        <is>
          <t>Вн-6</t>
        </is>
      </c>
      <c r="E18" s="3" t="n">
        <v>4140</v>
      </c>
      <c r="F18" s="3" t="n">
        <v>4800</v>
      </c>
      <c r="G18" s="3" t="n">
        <v>1</v>
      </c>
      <c r="H18" s="4">
        <f>ROUND(E18*F18*G18/1000000,2)</f>
        <v/>
      </c>
      <c r="I18" s="4" t="n">
        <v>16.16</v>
      </c>
      <c r="J18" s="4">
        <f>H18-I18</f>
        <v/>
      </c>
      <c r="K18" s="3" t="inlineStr">
        <is>
          <t>Д</t>
        </is>
      </c>
    </row>
    <row r="19">
      <c r="A19" s="3" t="n">
        <v>15</v>
      </c>
      <c r="B19" s="3" t="inlineStr">
        <is>
          <t>КП без шапки 06.04 (лит. Д)</t>
        </is>
      </c>
      <c r="C19" s="3" t="n">
        <v>5</v>
      </c>
      <c r="D19" s="3" t="inlineStr">
        <is>
          <t>Вн-7</t>
        </is>
      </c>
      <c r="E19" s="3" t="n">
        <v>4160</v>
      </c>
      <c r="F19" s="3" t="n">
        <v>4800</v>
      </c>
      <c r="G19" s="3" t="n">
        <v>1</v>
      </c>
      <c r="H19" s="4">
        <f>ROUND(E19*F19*G19/1000000,2)</f>
        <v/>
      </c>
      <c r="I19" s="4" t="n">
        <v>19.55</v>
      </c>
      <c r="J19" s="4">
        <f>H19-I19</f>
        <v/>
      </c>
      <c r="K19" s="3" t="inlineStr">
        <is>
          <t>Д</t>
        </is>
      </c>
    </row>
    <row r="20">
      <c r="A20" s="3" t="n">
        <v>16</v>
      </c>
      <c r="B20" s="3" t="inlineStr">
        <is>
          <t>КП без шапки 06.04 (лит. Д)</t>
        </is>
      </c>
      <c r="C20" s="3" t="n">
        <v>6</v>
      </c>
      <c r="D20" s="3" t="inlineStr">
        <is>
          <t>Вн-6</t>
        </is>
      </c>
      <c r="E20" s="3" t="n">
        <v>4190</v>
      </c>
      <c r="F20" s="3" t="n">
        <v>4800</v>
      </c>
      <c r="G20" s="3" t="n">
        <v>1</v>
      </c>
      <c r="H20" s="4">
        <f>ROUND(E20*F20*G20/1000000,2)</f>
        <v/>
      </c>
      <c r="I20" s="4" t="n">
        <v>16.4</v>
      </c>
      <c r="J20" s="4">
        <f>H20-I20</f>
        <v/>
      </c>
      <c r="K20" s="3" t="inlineStr">
        <is>
          <t>Д</t>
        </is>
      </c>
    </row>
    <row r="21">
      <c r="A21" s="3" t="n">
        <v>17</v>
      </c>
      <c r="B21" s="3" t="inlineStr">
        <is>
          <t>Блок В 06.04 (1)</t>
        </is>
      </c>
      <c r="C21" s="3" t="n">
        <v>1</v>
      </c>
      <c r="D21" s="3" t="inlineStr">
        <is>
          <t>Вн-16</t>
        </is>
      </c>
      <c r="E21" s="3" t="n">
        <v>1370</v>
      </c>
      <c r="F21" s="3" t="n">
        <v>5200</v>
      </c>
      <c r="G21" s="3" t="n">
        <v>1</v>
      </c>
      <c r="H21" s="4">
        <f>ROUND(E21*F21*G21/1000000,2)</f>
        <v/>
      </c>
      <c r="I21" s="4" t="n">
        <v>3.1</v>
      </c>
      <c r="J21" s="4">
        <f>H21-I21</f>
        <v/>
      </c>
      <c r="K21" s="3" t="inlineStr">
        <is>
          <t>В</t>
        </is>
      </c>
    </row>
    <row r="22">
      <c r="A22" s="3" t="n">
        <v>18</v>
      </c>
      <c r="B22" s="3" t="inlineStr">
        <is>
          <t>Блок В 06.04 (1)</t>
        </is>
      </c>
      <c r="C22" s="3" t="n">
        <v>2</v>
      </c>
      <c r="D22" s="3" t="inlineStr">
        <is>
          <t>Вн-16</t>
        </is>
      </c>
      <c r="E22" s="3" t="n">
        <v>1060</v>
      </c>
      <c r="F22" s="3" t="n">
        <v>5180</v>
      </c>
      <c r="G22" s="3" t="n">
        <v>1</v>
      </c>
      <c r="H22" s="4">
        <f>ROUND(E22*F22*G22/1000000,2)</f>
        <v/>
      </c>
      <c r="I22" s="4" t="n">
        <v>2.4</v>
      </c>
      <c r="J22" s="4">
        <f>H22-I22</f>
        <v/>
      </c>
      <c r="K22" s="3" t="inlineStr">
        <is>
          <t>В</t>
        </is>
      </c>
    </row>
    <row r="23">
      <c r="A23" s="3" t="n">
        <v>19</v>
      </c>
      <c r="B23" s="3" t="inlineStr">
        <is>
          <t>Блок В 06.04 (2)</t>
        </is>
      </c>
      <c r="C23" s="3" t="n">
        <v>1</v>
      </c>
      <c r="D23" s="3" t="inlineStr">
        <is>
          <t>Вн-6</t>
        </is>
      </c>
      <c r="E23" s="3" t="n">
        <v>4090</v>
      </c>
      <c r="F23" s="3" t="n">
        <v>4800</v>
      </c>
      <c r="G23" s="3" t="n">
        <v>1</v>
      </c>
      <c r="H23" s="4">
        <f>ROUND(E23*F23*G23/1000000,2)</f>
        <v/>
      </c>
      <c r="I23" s="4" t="n">
        <v>15.93</v>
      </c>
      <c r="J23" s="4">
        <f>H23-I23</f>
        <v/>
      </c>
      <c r="K23" s="3" t="inlineStr">
        <is>
          <t>В</t>
        </is>
      </c>
    </row>
    <row r="24">
      <c r="A24" s="3" t="n">
        <v>20</v>
      </c>
      <c r="B24" s="3" t="inlineStr">
        <is>
          <t>Блок В 06.04 (2)</t>
        </is>
      </c>
      <c r="C24" s="3" t="n">
        <v>2</v>
      </c>
      <c r="D24" s="3" t="inlineStr">
        <is>
          <t>Вн-17</t>
        </is>
      </c>
      <c r="E24" s="3" t="n">
        <v>4100</v>
      </c>
      <c r="F24" s="3" t="n">
        <v>4800</v>
      </c>
      <c r="G24" s="3" t="n">
        <v>1</v>
      </c>
      <c r="H24" s="4">
        <f>ROUND(E24*F24*G24/1000000,2)</f>
        <v/>
      </c>
      <c r="I24" s="4" t="n">
        <v>19.27</v>
      </c>
      <c r="J24" s="4">
        <f>H24-I24</f>
        <v/>
      </c>
      <c r="K24" s="3" t="inlineStr">
        <is>
          <t>В</t>
        </is>
      </c>
    </row>
    <row r="25">
      <c r="A25" s="3" t="n">
        <v>21</v>
      </c>
      <c r="B25" s="3" t="inlineStr">
        <is>
          <t>Блок В 06.04 (2)</t>
        </is>
      </c>
      <c r="C25" s="3" t="n">
        <v>3</v>
      </c>
      <c r="D25" s="3" t="inlineStr">
        <is>
          <t>Вн-16</t>
        </is>
      </c>
      <c r="E25" s="3" t="n">
        <v>1240</v>
      </c>
      <c r="F25" s="3" t="n">
        <v>4800</v>
      </c>
      <c r="G25" s="3" t="n">
        <v>1</v>
      </c>
      <c r="H25" s="4">
        <f>ROUND(E25*F25*G25/1000000,2)</f>
        <v/>
      </c>
      <c r="I25" s="4" t="n">
        <v>2.8</v>
      </c>
      <c r="J25" s="4">
        <f>H25-I25</f>
        <v/>
      </c>
      <c r="K25" s="3" t="inlineStr">
        <is>
          <t>В</t>
        </is>
      </c>
    </row>
    <row r="26">
      <c r="A26" s="3" t="n">
        <v>22</v>
      </c>
      <c r="B26" s="3" t="inlineStr">
        <is>
          <t>Блок В 06.04 (2)</t>
        </is>
      </c>
      <c r="C26" s="3" t="n">
        <v>4</v>
      </c>
      <c r="D26" s="3" t="inlineStr">
        <is>
          <t>Вн-19</t>
        </is>
      </c>
      <c r="E26" s="3" t="n">
        <v>2570</v>
      </c>
      <c r="F26" s="3" t="n">
        <v>4800</v>
      </c>
      <c r="G26" s="3" t="n">
        <v>2</v>
      </c>
      <c r="H26" s="4">
        <f>ROUND(E26*F26*G26/1000000,2)</f>
        <v/>
      </c>
      <c r="I26" s="4" t="n">
        <v>17.44</v>
      </c>
      <c r="J26" s="4">
        <f>H26-I26</f>
        <v/>
      </c>
      <c r="K26" s="3" t="inlineStr">
        <is>
          <t>В</t>
        </is>
      </c>
    </row>
    <row r="27">
      <c r="A27" s="3" t="n">
        <v>23</v>
      </c>
      <c r="B27" s="3" t="inlineStr">
        <is>
          <t>Вн-22 06.04</t>
        </is>
      </c>
      <c r="C27" s="3" t="n">
        <v>1</v>
      </c>
      <c r="D27" s="3" t="inlineStr">
        <is>
          <t>Вн-22</t>
        </is>
      </c>
      <c r="E27" s="3" t="n">
        <v>2070</v>
      </c>
      <c r="F27" s="3" t="n">
        <v>2760</v>
      </c>
      <c r="G27" s="3" t="n">
        <v>5</v>
      </c>
      <c r="H27" s="4">
        <f>ROUND(E27*F27*G27/1000000,2)</f>
        <v/>
      </c>
      <c r="I27" s="4" t="n">
        <v>13.05</v>
      </c>
      <c r="J27" s="4">
        <f>H27-I27</f>
        <v/>
      </c>
      <c r="K27" s="3" t="inlineStr">
        <is>
          <t>А</t>
        </is>
      </c>
    </row>
    <row r="28">
      <c r="A28" s="3" t="n">
        <v>24</v>
      </c>
      <c r="B28" s="3" t="inlineStr">
        <is>
          <t>Вн-22 06.04</t>
        </is>
      </c>
      <c r="C28" s="3" t="n">
        <v>1</v>
      </c>
      <c r="D28" s="3" t="inlineStr">
        <is>
          <t>Вн-22</t>
        </is>
      </c>
      <c r="E28" s="3" t="n">
        <v>2070</v>
      </c>
      <c r="F28" s="3" t="n">
        <v>2760</v>
      </c>
      <c r="G28" s="3" t="n">
        <v>5</v>
      </c>
      <c r="H28" s="4">
        <f>ROUND(E28*F28*G28/1000000,2)</f>
        <v/>
      </c>
      <c r="I28" s="4" t="n">
        <v>13.05</v>
      </c>
      <c r="J28" s="4">
        <f>H28-I28</f>
        <v/>
      </c>
      <c r="K28" s="3" t="inlineStr">
        <is>
          <t>Б</t>
        </is>
      </c>
    </row>
    <row r="29">
      <c r="A29" s="3" t="n">
        <v>25</v>
      </c>
      <c r="B29" s="3" t="inlineStr">
        <is>
          <t>Вн-22 06.04</t>
        </is>
      </c>
      <c r="C29" s="3" t="n">
        <v>1</v>
      </c>
      <c r="D29" s="3" t="inlineStr">
        <is>
          <t>Вн-22</t>
        </is>
      </c>
      <c r="E29" s="3" t="n">
        <v>2070</v>
      </c>
      <c r="F29" s="3" t="n">
        <v>2760</v>
      </c>
      <c r="G29" s="3" t="n">
        <v>1</v>
      </c>
      <c r="H29" s="4">
        <f>ROUND(E29*F29*G29/1000000,2)</f>
        <v/>
      </c>
      <c r="I29" s="4" t="n">
        <v>2.61</v>
      </c>
      <c r="J29" s="4">
        <f>H29-I29</f>
        <v/>
      </c>
      <c r="K29" s="3" t="inlineStr">
        <is>
          <t>В</t>
        </is>
      </c>
    </row>
    <row r="30">
      <c r="A30" s="3" t="n">
        <v>26</v>
      </c>
      <c r="B30" s="3" t="inlineStr">
        <is>
          <t>Режиссёр 1-18 25.09</t>
        </is>
      </c>
      <c r="C30" s="3" t="n">
        <v>1</v>
      </c>
      <c r="D30" s="3" t="inlineStr">
        <is>
          <t>Вн-19</t>
        </is>
      </c>
      <c r="E30" s="3" t="n">
        <v>2860</v>
      </c>
      <c r="F30" s="3" t="n">
        <v>4800</v>
      </c>
      <c r="G30" s="3" t="n">
        <v>1</v>
      </c>
      <c r="H30" s="4">
        <f>ROUND(E30*F30*G30/1000000,2)</f>
        <v/>
      </c>
      <c r="I30" s="4" t="n">
        <v>10.09</v>
      </c>
      <c r="J30" s="4">
        <f>H30-I30</f>
        <v/>
      </c>
      <c r="K30" s="3" t="inlineStr">
        <is>
          <t>не вошло</t>
        </is>
      </c>
    </row>
    <row r="31">
      <c r="A31" s="3" t="n">
        <v>27</v>
      </c>
      <c r="B31" s="3" t="inlineStr">
        <is>
          <t>Режиссёр 1-18 25.09</t>
        </is>
      </c>
      <c r="C31" s="3" t="n">
        <v>2</v>
      </c>
      <c r="D31" s="3" t="inlineStr">
        <is>
          <t>Вн-19</t>
        </is>
      </c>
      <c r="E31" s="3" t="n">
        <v>2920</v>
      </c>
      <c r="F31" s="3" t="n">
        <v>4800</v>
      </c>
      <c r="G31" s="3" t="n">
        <v>1</v>
      </c>
      <c r="H31" s="4">
        <f>ROUND(E31*F31*G31/1000000,2)</f>
        <v/>
      </c>
      <c r="I31" s="4" t="n">
        <v>10.37</v>
      </c>
      <c r="J31" s="4">
        <f>H31-I31</f>
        <v/>
      </c>
      <c r="K31" s="3" t="inlineStr">
        <is>
          <t>не вошло</t>
        </is>
      </c>
    </row>
    <row r="32">
      <c r="A32" s="3" t="n">
        <v>28</v>
      </c>
      <c r="B32" s="3" t="inlineStr">
        <is>
          <t>Режиссёр 1-18 25.09</t>
        </is>
      </c>
      <c r="C32" s="3" t="n">
        <v>3</v>
      </c>
      <c r="D32" s="3" t="inlineStr">
        <is>
          <t>Вн-13</t>
        </is>
      </c>
      <c r="E32" s="3" t="n">
        <v>3070</v>
      </c>
      <c r="F32" s="3" t="n">
        <v>4800</v>
      </c>
      <c r="G32" s="3" t="n">
        <v>1</v>
      </c>
      <c r="H32" s="4">
        <f>ROUND(E32*F32*G32/1000000,2)</f>
        <v/>
      </c>
      <c r="I32" s="4" t="n">
        <v>14.43</v>
      </c>
      <c r="J32" s="4">
        <f>H32-I32</f>
        <v/>
      </c>
      <c r="K32" s="3" t="inlineStr">
        <is>
          <t>В</t>
        </is>
      </c>
    </row>
    <row r="33">
      <c r="A33" s="3" t="n">
        <v>29</v>
      </c>
      <c r="B33" s="3" t="inlineStr">
        <is>
          <t>Режиссёр 1-18 25.09</t>
        </is>
      </c>
      <c r="C33" s="3" t="n">
        <v>4</v>
      </c>
      <c r="D33" s="3" t="inlineStr">
        <is>
          <t>Вн-16</t>
        </is>
      </c>
      <c r="E33" s="3" t="n">
        <v>1320</v>
      </c>
      <c r="F33" s="3" t="n">
        <v>4800</v>
      </c>
      <c r="G33" s="3" t="n">
        <v>1</v>
      </c>
      <c r="H33" s="4">
        <f>ROUND(E33*F33*G33/1000000,2)</f>
        <v/>
      </c>
      <c r="I33" s="4" t="n">
        <v>2.98</v>
      </c>
      <c r="J33" s="4">
        <f>H33-I33</f>
        <v/>
      </c>
      <c r="K33" s="3" t="inlineStr">
        <is>
          <t>не вошло</t>
        </is>
      </c>
    </row>
    <row r="34">
      <c r="A34" s="3" t="n">
        <v>30</v>
      </c>
      <c r="B34" s="3" t="inlineStr">
        <is>
          <t>Режиссёр 1-18 25.09</t>
        </is>
      </c>
      <c r="C34" s="3" t="n">
        <v>5</v>
      </c>
      <c r="D34" s="3" t="inlineStr">
        <is>
          <t>Вн-16</t>
        </is>
      </c>
      <c r="E34" s="3" t="n">
        <v>1020</v>
      </c>
      <c r="F34" s="3" t="n">
        <v>4800</v>
      </c>
      <c r="G34" s="3" t="n">
        <v>1</v>
      </c>
      <c r="H34" s="4">
        <f>ROUND(E34*F34*G34/1000000,2)</f>
        <v/>
      </c>
      <c r="I34" s="4" t="n">
        <v>2.31</v>
      </c>
      <c r="J34" s="4">
        <f>H34-I34</f>
        <v/>
      </c>
      <c r="K34" s="3" t="inlineStr">
        <is>
          <t>не вошло</t>
        </is>
      </c>
    </row>
    <row r="35">
      <c r="A35" s="3" t="n">
        <v>31</v>
      </c>
      <c r="B35" s="3" t="inlineStr">
        <is>
          <t>Режиссёр 1-18 25.09</t>
        </is>
      </c>
      <c r="C35" s="3" t="n">
        <v>6</v>
      </c>
      <c r="D35" s="3" t="inlineStr">
        <is>
          <t>Вн-6</t>
        </is>
      </c>
      <c r="E35" s="3" t="n">
        <v>4130</v>
      </c>
      <c r="F35" s="3" t="n">
        <v>4800</v>
      </c>
      <c r="G35" s="3" t="n">
        <v>1</v>
      </c>
      <c r="H35" s="4">
        <f>ROUND(E35*F35*G35/1000000,2)</f>
        <v/>
      </c>
      <c r="I35" s="4" t="n">
        <v>16.12</v>
      </c>
      <c r="J35" s="4">
        <f>H35-I35</f>
        <v/>
      </c>
      <c r="K35" s="3" t="inlineStr">
        <is>
          <t>А (установлен в лит. Г)</t>
        </is>
      </c>
    </row>
    <row r="36">
      <c r="A36" s="3" t="n">
        <v>32</v>
      </c>
      <c r="B36" s="3" t="inlineStr">
        <is>
          <t>Режиссёр 1-18 25.09</t>
        </is>
      </c>
      <c r="C36" s="3" t="n">
        <v>7</v>
      </c>
      <c r="D36" s="3" t="inlineStr">
        <is>
          <t>Вн-17</t>
        </is>
      </c>
      <c r="E36" s="3" t="n">
        <v>4130</v>
      </c>
      <c r="F36" s="3" t="n">
        <v>4800</v>
      </c>
      <c r="G36" s="3" t="n">
        <v>1</v>
      </c>
      <c r="H36" s="4">
        <f>ROUND(E36*F36*G36/1000000,2)</f>
        <v/>
      </c>
      <c r="I36" s="4" t="n">
        <v>19.41</v>
      </c>
      <c r="J36" s="4">
        <f>H36-I36</f>
        <v/>
      </c>
      <c r="K36" s="3" t="inlineStr">
        <is>
          <t>Г</t>
        </is>
      </c>
    </row>
    <row r="37">
      <c r="A37" s="3" t="n">
        <v>33</v>
      </c>
      <c r="B37" s="3" t="inlineStr">
        <is>
          <t>Режиссёр 1-18 25.09</t>
        </is>
      </c>
      <c r="C37" s="3" t="n">
        <v>8</v>
      </c>
      <c r="D37" s="3" t="inlineStr">
        <is>
          <t>Вн-6</t>
        </is>
      </c>
      <c r="E37" s="3" t="n">
        <v>4450</v>
      </c>
      <c r="F37" s="3" t="n">
        <v>4800</v>
      </c>
      <c r="G37" s="3" t="n">
        <v>1</v>
      </c>
      <c r="H37" s="4">
        <f>ROUND(E37*F37*G37/1000000,2)</f>
        <v/>
      </c>
      <c r="I37" s="4" t="n">
        <v>17.62</v>
      </c>
      <c r="J37" s="4">
        <f>H37-I37</f>
        <v/>
      </c>
      <c r="K37" s="3" t="inlineStr">
        <is>
          <t>Б (установлен в лит. Г)</t>
        </is>
      </c>
    </row>
    <row r="38">
      <c r="A38" s="3" t="n">
        <v>34</v>
      </c>
      <c r="B38" s="3" t="inlineStr">
        <is>
          <t>Режиссёр 1-18 25.09</t>
        </is>
      </c>
      <c r="C38" s="3" t="n">
        <v>9</v>
      </c>
      <c r="D38" s="3" t="inlineStr">
        <is>
          <t>Вн-17</t>
        </is>
      </c>
      <c r="E38" s="3" t="n">
        <v>4020</v>
      </c>
      <c r="F38" s="3" t="n">
        <v>4800</v>
      </c>
      <c r="G38" s="3" t="n">
        <v>1</v>
      </c>
      <c r="H38" s="4">
        <f>ROUND(E38*F38*G38/1000000,2)</f>
        <v/>
      </c>
      <c r="I38" s="4" t="n">
        <v>18.89</v>
      </c>
      <c r="J38" s="4">
        <f>H38-I38</f>
        <v/>
      </c>
      <c r="K38" s="3" t="inlineStr">
        <is>
          <t>не вошло</t>
        </is>
      </c>
    </row>
    <row r="39">
      <c r="A39" s="3" t="n">
        <v>35</v>
      </c>
      <c r="B39" s="3" t="inlineStr">
        <is>
          <t>Режиссёр 1-18 25.09</t>
        </is>
      </c>
      <c r="C39" s="3" t="n">
        <v>10</v>
      </c>
      <c r="D39" s="3" t="inlineStr">
        <is>
          <t>Вн-21</t>
        </is>
      </c>
      <c r="E39" s="3" t="n">
        <v>2920</v>
      </c>
      <c r="F39" s="3" t="n">
        <v>4800</v>
      </c>
      <c r="G39" s="3" t="n">
        <v>1</v>
      </c>
      <c r="H39" s="4">
        <f>ROUND(E39*F39*G39/1000000,2)</f>
        <v/>
      </c>
      <c r="I39" s="4" t="n">
        <v>13.72</v>
      </c>
      <c r="J39" s="4">
        <f>H39-I39</f>
        <v/>
      </c>
      <c r="K39" s="3" t="inlineStr">
        <is>
          <t>Г</t>
        </is>
      </c>
    </row>
    <row r="40">
      <c r="A40" s="3" t="n">
        <v>36</v>
      </c>
      <c r="B40" s="3" t="inlineStr">
        <is>
          <t>Режиссёр 1-18 25.09</t>
        </is>
      </c>
      <c r="C40" s="3" t="n">
        <v>11</v>
      </c>
      <c r="D40" s="3" t="inlineStr">
        <is>
          <t>Вн-6</t>
        </is>
      </c>
      <c r="E40" s="3" t="n">
        <v>4260</v>
      </c>
      <c r="F40" s="3" t="n">
        <v>4800</v>
      </c>
      <c r="G40" s="3" t="n">
        <v>1</v>
      </c>
      <c r="H40" s="4">
        <f>ROUND(E40*F40*G40/1000000,2)</f>
        <v/>
      </c>
      <c r="I40" s="4" t="n">
        <v>16.73</v>
      </c>
      <c r="J40" s="4">
        <f>H40-I40</f>
        <v/>
      </c>
      <c r="K40" s="3" t="inlineStr">
        <is>
          <t>Г</t>
        </is>
      </c>
    </row>
    <row r="41">
      <c r="A41" s="3" t="n">
        <v>37</v>
      </c>
      <c r="B41" s="3" t="inlineStr">
        <is>
          <t>Режиссёр 1-18 25.09</t>
        </is>
      </c>
      <c r="C41" s="3" t="n">
        <v>12</v>
      </c>
      <c r="D41" s="3" t="inlineStr">
        <is>
          <t>Вн-20</t>
        </is>
      </c>
      <c r="E41" s="3" t="n">
        <v>3840</v>
      </c>
      <c r="F41" s="3" t="n">
        <v>4800</v>
      </c>
      <c r="G41" s="3" t="n">
        <v>1</v>
      </c>
      <c r="H41" s="4">
        <f>ROUND(E41*F41*G41/1000000,2)</f>
        <v/>
      </c>
      <c r="I41" s="4" t="n">
        <v>18.05</v>
      </c>
      <c r="J41" s="4">
        <f>H41-I41</f>
        <v/>
      </c>
      <c r="K41" s="3" t="inlineStr">
        <is>
          <t>Г</t>
        </is>
      </c>
    </row>
    <row r="42">
      <c r="A42" s="3" t="n">
        <v>38</v>
      </c>
      <c r="B42" s="3" t="inlineStr">
        <is>
          <t>Режиссёр 1-18 25.09</t>
        </is>
      </c>
      <c r="C42" s="3" t="n">
        <v>13</v>
      </c>
      <c r="D42" s="3" t="inlineStr">
        <is>
          <t>Вн-12</t>
        </is>
      </c>
      <c r="E42" s="3" t="n">
        <v>3250</v>
      </c>
      <c r="F42" s="3" t="n">
        <v>4800</v>
      </c>
      <c r="G42" s="3" t="n">
        <v>1</v>
      </c>
      <c r="H42" s="4">
        <f>ROUND(E42*F42*G42/1000000,2)</f>
        <v/>
      </c>
      <c r="I42" s="4" t="n">
        <v>11.92</v>
      </c>
      <c r="J42" s="4">
        <f>H42-I42</f>
        <v/>
      </c>
      <c r="K42" s="3" t="inlineStr">
        <is>
          <t>Г</t>
        </is>
      </c>
    </row>
    <row r="43">
      <c r="A43" s="3" t="n">
        <v>39</v>
      </c>
      <c r="B43" s="3" t="inlineStr">
        <is>
          <t>Режиссёр 1-18 25.09</t>
        </is>
      </c>
      <c r="C43" s="3" t="n">
        <v>14</v>
      </c>
      <c r="D43" s="3" t="inlineStr">
        <is>
          <t>Вн-11</t>
        </is>
      </c>
      <c r="E43" s="3" t="n">
        <v>2310</v>
      </c>
      <c r="F43" s="3" t="n">
        <v>4800</v>
      </c>
      <c r="G43" s="3" t="n">
        <v>1</v>
      </c>
      <c r="H43" s="4">
        <f>ROUND(E43*F43*G43/1000000,2)</f>
        <v/>
      </c>
      <c r="I43" s="4" t="n">
        <v>10.86</v>
      </c>
      <c r="J43" s="4">
        <f>H43-I43</f>
        <v/>
      </c>
      <c r="K43" s="3" t="inlineStr">
        <is>
          <t>Г</t>
        </is>
      </c>
    </row>
    <row r="44">
      <c r="A44" s="3" t="n">
        <v>40</v>
      </c>
      <c r="B44" s="3" t="inlineStr">
        <is>
          <t>Режиссёр 1-18 25.09</t>
        </is>
      </c>
      <c r="C44" s="3" t="n">
        <v>15</v>
      </c>
      <c r="D44" s="3" t="inlineStr">
        <is>
          <t>Вн-10</t>
        </is>
      </c>
      <c r="E44" s="3" t="n">
        <v>4160</v>
      </c>
      <c r="F44" s="3" t="n">
        <v>4800</v>
      </c>
      <c r="G44" s="3" t="n">
        <v>1</v>
      </c>
      <c r="H44" s="4">
        <f>ROUND(E44*F44*G44/1000000,2)</f>
        <v/>
      </c>
      <c r="I44" s="4" t="n">
        <v>16.26</v>
      </c>
      <c r="J44" s="4">
        <f>H44-I44</f>
        <v/>
      </c>
      <c r="K44" s="3" t="inlineStr">
        <is>
          <t>Г</t>
        </is>
      </c>
    </row>
    <row r="45">
      <c r="A45" s="3" t="n">
        <v>41</v>
      </c>
      <c r="B45" s="3" t="inlineStr">
        <is>
          <t>Режиссёр 1-18 25.09</t>
        </is>
      </c>
      <c r="C45" s="3" t="n">
        <v>16</v>
      </c>
      <c r="D45" s="3" t="inlineStr">
        <is>
          <t>Вн-9</t>
        </is>
      </c>
      <c r="E45" s="3" t="n">
        <v>4060</v>
      </c>
      <c r="F45" s="3" t="n">
        <v>4800</v>
      </c>
      <c r="G45" s="3" t="n">
        <v>1</v>
      </c>
      <c r="H45" s="4">
        <f>ROUND(E45*F45*G45/1000000,2)</f>
        <v/>
      </c>
      <c r="I45" s="4" t="n">
        <v>15.79</v>
      </c>
      <c r="J45" s="4">
        <f>H45-I45</f>
        <v/>
      </c>
      <c r="K45" s="3" t="inlineStr">
        <is>
          <t>не вошло</t>
        </is>
      </c>
    </row>
    <row r="46">
      <c r="A46" s="3" t="n">
        <v>42</v>
      </c>
      <c r="B46" s="3" t="inlineStr">
        <is>
          <t>Режиссёр 1-18 25.09</t>
        </is>
      </c>
      <c r="C46" s="3" t="n">
        <v>17</v>
      </c>
      <c r="D46" s="3" t="inlineStr">
        <is>
          <t>Вн-17</t>
        </is>
      </c>
      <c r="E46" s="3" t="n">
        <v>3750</v>
      </c>
      <c r="F46" s="3" t="n">
        <v>4800</v>
      </c>
      <c r="G46" s="3" t="n">
        <v>1</v>
      </c>
      <c r="H46" s="4">
        <f>ROUND(E46*F46*G46/1000000,2)</f>
        <v/>
      </c>
      <c r="I46" s="4" t="n">
        <v>17.62</v>
      </c>
      <c r="J46" s="4">
        <f>H46-I46</f>
        <v/>
      </c>
      <c r="K46" s="3" t="inlineStr">
        <is>
          <t>не вошло</t>
        </is>
      </c>
    </row>
    <row r="47">
      <c r="A47" s="3" t="n">
        <v>43</v>
      </c>
      <c r="B47" s="3" t="inlineStr">
        <is>
          <t>Режиссёр 1-18 25.09</t>
        </is>
      </c>
      <c r="C47" s="3" t="n">
        <v>18</v>
      </c>
      <c r="D47" s="3" t="inlineStr">
        <is>
          <t>Вн-6</t>
        </is>
      </c>
      <c r="E47" s="3" t="n">
        <v>4130</v>
      </c>
      <c r="F47" s="3" t="n">
        <v>4800</v>
      </c>
      <c r="G47" s="3" t="n">
        <v>1</v>
      </c>
      <c r="H47" s="4">
        <f>ROUND(E47*F47*G47/1000000,2)</f>
        <v/>
      </c>
      <c r="I47" s="4" t="n">
        <v>16.12</v>
      </c>
      <c r="J47" s="4">
        <f>H47-I47</f>
        <v/>
      </c>
      <c r="K47" s="3" t="inlineStr">
        <is>
          <t>не вошло</t>
        </is>
      </c>
    </row>
    <row r="48">
      <c r="A48" s="16" t="n"/>
      <c r="B48" s="8" t="inlineStr">
        <is>
          <t>ИТОГО</t>
        </is>
      </c>
      <c r="C48" s="16" t="n"/>
      <c r="D48" s="16" t="n"/>
      <c r="E48" s="16" t="n"/>
      <c r="F48" s="16" t="n"/>
      <c r="G48" s="8">
        <f>SUM(G5:G47)</f>
        <v/>
      </c>
      <c r="H48" s="25">
        <f>SUM(H5:H47)</f>
        <v/>
      </c>
      <c r="I48" s="25">
        <f>SUM(I5:I47)</f>
        <v/>
      </c>
      <c r="J48" s="25">
        <f>SUM(J5:J47)</f>
        <v/>
      </c>
      <c r="K48" s="16" t="n"/>
    </row>
    <row r="49">
      <c r="H49" s="28" t="n"/>
      <c r="I49" s="28" t="n"/>
      <c r="J49" s="28" t="n"/>
    </row>
    <row r="50">
      <c r="A50" s="12" t="inlineStr">
        <is>
          <t>2. Двери к витражам (КП от 13.04.2026) — в спецификацию не добавлены, для справки</t>
        </is>
      </c>
      <c r="H50" s="28" t="n"/>
      <c r="I50" s="28" t="n"/>
      <c r="J50" s="28" t="n"/>
    </row>
    <row r="51" ht="60" customHeight="1">
      <c r="A51" s="2" t="inlineStr">
        <is>
          <t>№</t>
        </is>
      </c>
      <c r="B51" s="2" t="inlineStr">
        <is>
          <t>КП</t>
        </is>
      </c>
      <c r="C51" s="2" t="inlineStr">
        <is>
          <t>Литер</t>
        </is>
      </c>
      <c r="D51" s="2" t="inlineStr">
        <is>
          <t>Марка</t>
        </is>
      </c>
      <c r="E51" s="2" t="inlineStr">
        <is>
          <t>Ширина, мм</t>
        </is>
      </c>
      <c r="F51" s="2" t="inlineStr">
        <is>
          <t>Высота, мм</t>
        </is>
      </c>
      <c r="G51" s="2" t="inlineStr">
        <is>
          <t>Кол-во, шт</t>
        </is>
      </c>
      <c r="H51" s="27" t="inlineStr">
        <is>
          <t>Площадь по размерам, м²</t>
        </is>
      </c>
      <c r="I51" s="27" t="inlineStr">
        <is>
          <t>Площадь в КП, м²</t>
        </is>
      </c>
      <c r="J51" s="28" t="n"/>
    </row>
    <row r="52">
      <c r="A52" s="3" t="n">
        <v>1</v>
      </c>
      <c r="B52" s="3" t="inlineStr">
        <is>
          <t>№9 А</t>
        </is>
      </c>
      <c r="C52" s="3" t="inlineStr">
        <is>
          <t>А</t>
        </is>
      </c>
      <c r="D52" s="3" t="inlineStr">
        <is>
          <t>Вн-6</t>
        </is>
      </c>
      <c r="E52" s="3" t="n">
        <v>1336</v>
      </c>
      <c r="F52" s="3" t="n">
        <v>2433</v>
      </c>
      <c r="G52" s="3" t="n">
        <v>3</v>
      </c>
      <c r="H52" s="4">
        <f>ROUND(E52*F52*G52/1000000,2)</f>
        <v/>
      </c>
      <c r="I52" s="4" t="n">
        <v>9.75</v>
      </c>
      <c r="J52" s="28" t="n"/>
    </row>
    <row r="53">
      <c r="A53" s="3" t="n">
        <v>2</v>
      </c>
      <c r="B53" s="3" t="inlineStr">
        <is>
          <t>№9 А</t>
        </is>
      </c>
      <c r="C53" s="3" t="inlineStr">
        <is>
          <t>А</t>
        </is>
      </c>
      <c r="D53" s="3" t="inlineStr">
        <is>
          <t>Вн-14</t>
        </is>
      </c>
      <c r="E53" s="3" t="n">
        <v>1336</v>
      </c>
      <c r="F53" s="3" t="n">
        <v>2433</v>
      </c>
      <c r="G53" s="3" t="n">
        <v>1</v>
      </c>
      <c r="H53" s="4">
        <f>ROUND(E53*F53*G53/1000000,2)</f>
        <v/>
      </c>
      <c r="I53" s="4" t="n">
        <v>3.25</v>
      </c>
      <c r="J53" s="28" t="n"/>
    </row>
    <row r="54">
      <c r="A54" s="3" t="n">
        <v>3</v>
      </c>
      <c r="B54" s="3" t="inlineStr">
        <is>
          <t>№9 А</t>
        </is>
      </c>
      <c r="C54" s="3" t="inlineStr">
        <is>
          <t>А</t>
        </is>
      </c>
      <c r="D54" s="3" t="inlineStr">
        <is>
          <t>Вн-15</t>
        </is>
      </c>
      <c r="E54" s="3" t="n">
        <v>1106</v>
      </c>
      <c r="F54" s="3" t="n">
        <v>2433</v>
      </c>
      <c r="G54" s="3" t="n">
        <v>1</v>
      </c>
      <c r="H54" s="4">
        <f>ROUND(E54*F54*G54/1000000,2)</f>
        <v/>
      </c>
      <c r="I54" s="4" t="n">
        <v>2.69</v>
      </c>
      <c r="J54" s="28" t="n"/>
    </row>
    <row r="55">
      <c r="A55" s="3" t="n">
        <v>4</v>
      </c>
      <c r="B55" s="3" t="inlineStr">
        <is>
          <t>№11 Б</t>
        </is>
      </c>
      <c r="C55" s="3" t="inlineStr">
        <is>
          <t>Б</t>
        </is>
      </c>
      <c r="D55" s="3" t="inlineStr">
        <is>
          <t>Вн-6</t>
        </is>
      </c>
      <c r="E55" s="3" t="n">
        <v>1336</v>
      </c>
      <c r="F55" s="3" t="n">
        <v>2433</v>
      </c>
      <c r="G55" s="3" t="n">
        <v>3</v>
      </c>
      <c r="H55" s="4">
        <f>ROUND(E55*F55*G55/1000000,2)</f>
        <v/>
      </c>
      <c r="I55" s="4" t="n">
        <v>9.75</v>
      </c>
      <c r="J55" s="28" t="n"/>
    </row>
    <row r="56">
      <c r="A56" s="3" t="n">
        <v>5</v>
      </c>
      <c r="B56" s="3" t="inlineStr">
        <is>
          <t>№11 Б</t>
        </is>
      </c>
      <c r="C56" s="3" t="inlineStr">
        <is>
          <t>Б</t>
        </is>
      </c>
      <c r="D56" s="3" t="inlineStr">
        <is>
          <t>Вн-18</t>
        </is>
      </c>
      <c r="E56" s="3" t="n">
        <v>1336</v>
      </c>
      <c r="F56" s="3" t="n">
        <v>2433</v>
      </c>
      <c r="G56" s="3" t="n">
        <v>1</v>
      </c>
      <c r="H56" s="4">
        <f>ROUND(E56*F56*G56/1000000,2)</f>
        <v/>
      </c>
      <c r="I56" s="4" t="n">
        <v>3.25</v>
      </c>
      <c r="J56" s="28" t="n"/>
    </row>
    <row r="57">
      <c r="A57" s="3" t="n">
        <v>6</v>
      </c>
      <c r="B57" s="3" t="inlineStr">
        <is>
          <t>№11 Б</t>
        </is>
      </c>
      <c r="C57" s="3" t="inlineStr">
        <is>
          <t>Б</t>
        </is>
      </c>
      <c r="D57" s="3" t="inlineStr">
        <is>
          <t>Вн-15</t>
        </is>
      </c>
      <c r="E57" s="3" t="n">
        <v>1186</v>
      </c>
      <c r="F57" s="3" t="n">
        <v>2433</v>
      </c>
      <c r="G57" s="3" t="n">
        <v>1</v>
      </c>
      <c r="H57" s="4">
        <f>ROUND(E57*F57*G57/1000000,2)</f>
        <v/>
      </c>
      <c r="I57" s="4" t="n">
        <v>2.89</v>
      </c>
      <c r="J57" s="28" t="n"/>
    </row>
    <row r="58">
      <c r="A58" s="3" t="n">
        <v>7</v>
      </c>
      <c r="B58" s="3" t="inlineStr">
        <is>
          <t>№14 (Д)</t>
        </is>
      </c>
      <c r="C58" s="3" t="inlineStr">
        <is>
          <t>Д</t>
        </is>
      </c>
      <c r="D58" s="3" t="inlineStr">
        <is>
          <t>Вн-10</t>
        </is>
      </c>
      <c r="E58" s="3" t="n">
        <v>1336</v>
      </c>
      <c r="F58" s="3" t="n">
        <v>2433</v>
      </c>
      <c r="G58" s="3" t="n">
        <v>1</v>
      </c>
      <c r="H58" s="4">
        <f>ROUND(E58*F58*G58/1000000,2)</f>
        <v/>
      </c>
      <c r="I58" s="4" t="n">
        <v>3.25</v>
      </c>
      <c r="J58" s="28" t="n"/>
    </row>
    <row r="59">
      <c r="A59" s="3" t="n">
        <v>8</v>
      </c>
      <c r="B59" s="3" t="inlineStr">
        <is>
          <t>№14 (Д)</t>
        </is>
      </c>
      <c r="C59" s="3" t="inlineStr">
        <is>
          <t>Д</t>
        </is>
      </c>
      <c r="D59" s="3" t="inlineStr">
        <is>
          <t>Вн-6</t>
        </is>
      </c>
      <c r="E59" s="3" t="n">
        <v>1336</v>
      </c>
      <c r="F59" s="3" t="n">
        <v>2433</v>
      </c>
      <c r="G59" s="3" t="n">
        <v>2</v>
      </c>
      <c r="H59" s="4">
        <f>ROUND(E59*F59*G59/1000000,2)</f>
        <v/>
      </c>
      <c r="I59" s="4" t="n">
        <v>6.5</v>
      </c>
      <c r="J59" s="28" t="n"/>
    </row>
    <row r="60">
      <c r="A60" s="3" t="n">
        <v>9</v>
      </c>
      <c r="B60" s="3" t="inlineStr">
        <is>
          <t>№14 (Д)</t>
        </is>
      </c>
      <c r="C60" s="3" t="inlineStr">
        <is>
          <t>Д</t>
        </is>
      </c>
      <c r="D60" s="3" t="inlineStr">
        <is>
          <t>Вн-9</t>
        </is>
      </c>
      <c r="E60" s="3" t="n">
        <v>1336</v>
      </c>
      <c r="F60" s="3" t="n">
        <v>2433</v>
      </c>
      <c r="G60" s="3" t="n">
        <v>1</v>
      </c>
      <c r="H60" s="4">
        <f>ROUND(E60*F60*G60/1000000,2)</f>
        <v/>
      </c>
      <c r="I60" s="4" t="n">
        <v>3.25</v>
      </c>
      <c r="J60" s="28" t="n"/>
    </row>
    <row r="61">
      <c r="A61" s="3" t="n">
        <v>10</v>
      </c>
      <c r="B61" s="3" t="inlineStr">
        <is>
          <t>№12 В</t>
        </is>
      </c>
      <c r="C61" s="3" t="inlineStr">
        <is>
          <t>В</t>
        </is>
      </c>
      <c r="D61" s="3" t="inlineStr">
        <is>
          <t>Вн-6</t>
        </is>
      </c>
      <c r="E61" s="3" t="n">
        <v>1336</v>
      </c>
      <c r="F61" s="3" t="n">
        <v>2433</v>
      </c>
      <c r="G61" s="3" t="n">
        <v>1</v>
      </c>
      <c r="H61" s="4">
        <f>ROUND(E61*F61*G61/1000000,2)</f>
        <v/>
      </c>
      <c r="I61" s="4" t="n">
        <v>3.25</v>
      </c>
      <c r="J61" s="28" t="n"/>
    </row>
    <row r="62">
      <c r="A62" s="3" t="n">
        <v>11</v>
      </c>
      <c r="B62" s="3" t="inlineStr">
        <is>
          <t>№12 В</t>
        </is>
      </c>
      <c r="C62" s="3" t="inlineStr">
        <is>
          <t>В</t>
        </is>
      </c>
      <c r="D62" s="3" t="inlineStr">
        <is>
          <t>Вн-19</t>
        </is>
      </c>
      <c r="E62" s="3" t="n">
        <v>1336</v>
      </c>
      <c r="F62" s="3" t="n">
        <v>2433</v>
      </c>
      <c r="G62" s="3" t="n">
        <v>2</v>
      </c>
      <c r="H62" s="4">
        <f>ROUND(E62*F62*G62/1000000,2)</f>
        <v/>
      </c>
      <c r="I62" s="4" t="n">
        <v>6.5</v>
      </c>
      <c r="J62" s="28" t="n"/>
    </row>
    <row r="63">
      <c r="A63" s="3" t="n">
        <v>12</v>
      </c>
      <c r="B63" s="3" t="inlineStr">
        <is>
          <t>№12 В</t>
        </is>
      </c>
      <c r="C63" s="3" t="inlineStr">
        <is>
          <t>В</t>
        </is>
      </c>
      <c r="D63" s="3" t="inlineStr">
        <is>
          <t>Вн-16</t>
        </is>
      </c>
      <c r="E63" s="3" t="n">
        <v>1176</v>
      </c>
      <c r="F63" s="3" t="n">
        <v>2433</v>
      </c>
      <c r="G63" s="3" t="n">
        <v>1</v>
      </c>
      <c r="H63" s="4">
        <f>ROUND(E63*F63*G63/1000000,2)</f>
        <v/>
      </c>
      <c r="I63" s="4" t="n">
        <v>2.86</v>
      </c>
      <c r="J63" s="28" t="n"/>
    </row>
    <row r="64">
      <c r="A64" s="3" t="n">
        <v>13</v>
      </c>
      <c r="B64" s="3" t="inlineStr">
        <is>
          <t>№15 Вн-22</t>
        </is>
      </c>
      <c r="C64" s="3" t="inlineStr">
        <is>
          <t>А, Б, В</t>
        </is>
      </c>
      <c r="D64" s="3" t="inlineStr">
        <is>
          <t>Вн-22</t>
        </is>
      </c>
      <c r="E64" s="3" t="n">
        <v>1336</v>
      </c>
      <c r="F64" s="3" t="n">
        <v>2193</v>
      </c>
      <c r="G64" s="3" t="n">
        <v>11</v>
      </c>
      <c r="H64" s="4">
        <f>ROUND(E64*F64*G64/1000000,2)</f>
        <v/>
      </c>
      <c r="I64" s="4" t="n">
        <v>32.23</v>
      </c>
      <c r="J64" s="28" t="n"/>
    </row>
    <row r="65">
      <c r="A65" s="16" t="n"/>
      <c r="B65" s="8" t="inlineStr">
        <is>
          <t>ИТОГО</t>
        </is>
      </c>
      <c r="C65" s="16" t="n"/>
      <c r="D65" s="16" t="n"/>
      <c r="E65" s="16" t="n"/>
      <c r="F65" s="16" t="n"/>
      <c r="G65" s="8">
        <f>SUM(G52:G64)</f>
        <v/>
      </c>
      <c r="H65" s="25">
        <f>SUM(H52:H64)</f>
        <v/>
      </c>
      <c r="I65" s="25">
        <f>SUM(I52:I64)</f>
        <v/>
      </c>
      <c r="J65" s="28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2026-09-28T08:11:49Z</dcterms:created>
  <dcterms:modified xmlns:dcterms="http://purl.org/dc/terms/" xmlns:xsi="http://www.w3.org/2001/XMLSchema-instance" xsi:type="dcterms:W3CDTF">2026-09-28T08:11:49Z</dcterms:modified>
</cp:coreProperties>
</file>