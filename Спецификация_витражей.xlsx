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пецификация" sheetId="1" state="visible" r:id="rId1"/>
    <sheet xmlns:r="http://schemas.openxmlformats.org/officeDocument/2006/relationships" name="Сверка с ВДЦ" sheetId="2" state="visible" r:id="rId2"/>
    <sheet xmlns:r="http://schemas.openxmlformats.org/officeDocument/2006/relationships" name="По литерам" sheetId="3" state="visible" r:id="rId3"/>
    <sheet xmlns:r="http://schemas.openxmlformats.org/officeDocument/2006/relationships" name="Привязка к чертежам" sheetId="4" state="visible" r:id="rId4"/>
    <sheet xmlns:r="http://schemas.openxmlformats.org/officeDocument/2006/relationships" name="В КП, не вошло" sheetId="5" state="visible" r:id="rId5"/>
    <sheet xmlns:r="http://schemas.openxmlformats.org/officeDocument/2006/relationships" name="Сверка с КП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right" vertical="center" wrapText="1"/>
    </xf>
    <xf numFmtId="4" fontId="2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0" fillId="0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2" fontId="2" fillId="3" borderId="1" applyAlignment="1" pivotButton="0" quotePrefix="0" xfId="0">
      <alignment horizontal="center" vertical="center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1" customWidth="1" min="12" max="12"/>
    <col width="10" customWidth="1" min="13" max="13"/>
    <col width="13" customWidth="1" min="14" max="14"/>
    <col width="34" customWidth="1" min="15" max="15"/>
  </cols>
  <sheetData>
    <row r="1">
      <c r="A1" s="1" t="inlineStr">
        <is>
          <t>Спецификация витражей (по планам на отм. -6.000 и 0.000, марки выделены красным) — только позиции, входящие в КП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Всего, шт</t>
        </is>
      </c>
      <c r="L3" s="2" t="inlineStr">
        <is>
          <t>Площадь по КП, м²</t>
        </is>
      </c>
      <c r="M3" s="2" t="inlineStr">
        <is>
          <t>Отметка</t>
        </is>
      </c>
      <c r="N3" s="2" t="inlineStr">
        <is>
          <t>Дверь в составе (по чертежу)</t>
        </is>
      </c>
      <c r="O3" s="2" t="inlineStr">
        <is>
          <t>Примечание</t>
        </is>
      </c>
    </row>
    <row r="4">
      <c r="A4" s="3" t="n">
        <v>1</v>
      </c>
      <c r="B4" s="3" t="inlineStr">
        <is>
          <t>Вн-6</t>
        </is>
      </c>
      <c r="C4" s="3" t="n">
        <v>4200</v>
      </c>
      <c r="D4" s="3" t="n">
        <v>4820</v>
      </c>
      <c r="E4" s="4">
        <f>ROUND(L4/K4,2)</f>
        <v/>
      </c>
      <c r="F4" s="3" t="n">
        <v>3</v>
      </c>
      <c r="G4" s="3" t="n">
        <v>3</v>
      </c>
      <c r="H4" s="3" t="n">
        <v>1</v>
      </c>
      <c r="I4" s="3" t="n">
        <v>3</v>
      </c>
      <c r="J4" s="3" t="n">
        <v>2</v>
      </c>
      <c r="K4" s="3">
        <f>SUM(F4:J4)</f>
        <v/>
      </c>
      <c r="L4" s="5" t="n">
        <v>239.46</v>
      </c>
      <c r="M4" s="3" t="inlineStr">
        <is>
          <t>-6.000</t>
        </is>
      </c>
      <c r="N4" s="6" t="inlineStr">
        <is>
          <t>Д17*</t>
        </is>
      </c>
      <c r="O4" s="6" t="inlineStr">
        <is>
          <t>Лит. Г: 1 шт. по КП Г + по 1 шт. из КП лит. А и Б (там в КП по 4, на чертеже по 3)</t>
        </is>
      </c>
    </row>
    <row r="5">
      <c r="A5" s="3" t="n">
        <v>2</v>
      </c>
      <c r="B5" s="3" t="inlineStr">
        <is>
          <t>Вн-7</t>
        </is>
      </c>
      <c r="C5" s="3" t="n">
        <v>3020</v>
      </c>
      <c r="D5" s="3" t="n">
        <v>4820</v>
      </c>
      <c r="E5" s="4">
        <f>ROUND(L5/K5,2)</f>
        <v/>
      </c>
      <c r="F5" s="3" t="n"/>
      <c r="G5" s="3" t="n"/>
      <c r="H5" s="3" t="n"/>
      <c r="I5" s="3" t="n"/>
      <c r="J5" s="3" t="n">
        <v>1</v>
      </c>
      <c r="K5" s="3">
        <f>SUM(F5:J5)</f>
        <v/>
      </c>
      <c r="L5" s="5" t="n">
        <v>19.97</v>
      </c>
      <c r="M5" s="3" t="inlineStr">
        <is>
          <t>-6.000</t>
        </is>
      </c>
      <c r="N5" s="6" t="inlineStr"/>
      <c r="O5" s="6" t="inlineStr"/>
    </row>
    <row r="6">
      <c r="A6" s="3" t="n">
        <v>3</v>
      </c>
      <c r="B6" s="3" t="inlineStr">
        <is>
          <t>Вн-8</t>
        </is>
      </c>
      <c r="C6" s="3" t="n">
        <v>2600</v>
      </c>
      <c r="D6" s="3" t="n">
        <v>4820</v>
      </c>
      <c r="E6" s="4">
        <f>ROUND(L6/K6,2)</f>
        <v/>
      </c>
      <c r="F6" s="3" t="n">
        <v>1</v>
      </c>
      <c r="G6" s="3" t="n"/>
      <c r="H6" s="3" t="n"/>
      <c r="I6" s="3" t="n"/>
      <c r="J6" s="3" t="n"/>
      <c r="K6" s="3">
        <f>SUM(F6:J6)</f>
        <v/>
      </c>
      <c r="L6" s="5" t="n">
        <v>12.34</v>
      </c>
      <c r="M6" s="3" t="inlineStr">
        <is>
          <t>-6.000</t>
        </is>
      </c>
      <c r="N6" s="6" t="inlineStr"/>
      <c r="O6" s="6" t="inlineStr"/>
    </row>
    <row r="7">
      <c r="A7" s="3" t="n">
        <v>4</v>
      </c>
      <c r="B7" s="3" t="inlineStr">
        <is>
          <t>Вн-9</t>
        </is>
      </c>
      <c r="C7" s="3" t="n">
        <v>3870</v>
      </c>
      <c r="D7" s="3" t="n">
        <v>4820</v>
      </c>
      <c r="E7" s="4">
        <f>ROUND(L7/K7,2)</f>
        <v/>
      </c>
      <c r="F7" s="3" t="n"/>
      <c r="G7" s="3" t="n"/>
      <c r="H7" s="3" t="n"/>
      <c r="I7" s="3" t="n"/>
      <c r="J7" s="3" t="n">
        <v>1</v>
      </c>
      <c r="K7" s="3">
        <f>SUM(F7:J7)</f>
        <v/>
      </c>
      <c r="L7" s="5" t="n">
        <v>19.68</v>
      </c>
      <c r="M7" s="3" t="inlineStr">
        <is>
          <t>-6.000</t>
        </is>
      </c>
      <c r="N7" s="6" t="inlineStr">
        <is>
          <t>Д17*</t>
        </is>
      </c>
      <c r="O7" s="6" t="inlineStr"/>
    </row>
    <row r="8">
      <c r="A8" s="3" t="n">
        <v>5</v>
      </c>
      <c r="B8" s="3" t="inlineStr">
        <is>
          <t>Вн-10</t>
        </is>
      </c>
      <c r="C8" s="3" t="n">
        <v>4160</v>
      </c>
      <c r="D8" s="3" t="n">
        <v>4820</v>
      </c>
      <c r="E8" s="4">
        <f>ROUND(L8/K8,2)</f>
        <v/>
      </c>
      <c r="F8" s="3" t="n"/>
      <c r="G8" s="3" t="n"/>
      <c r="H8" s="3" t="n"/>
      <c r="I8" s="3" t="n">
        <v>1</v>
      </c>
      <c r="J8" s="3" t="n"/>
      <c r="K8" s="3">
        <f>SUM(F8:J8)</f>
        <v/>
      </c>
      <c r="L8" s="5" t="n">
        <v>19.97</v>
      </c>
      <c r="M8" s="3" t="inlineStr">
        <is>
          <t>-6.000</t>
        </is>
      </c>
      <c r="N8" s="6" t="inlineStr">
        <is>
          <t>Д17*</t>
        </is>
      </c>
      <c r="O8" s="6" t="inlineStr"/>
    </row>
    <row r="9">
      <c r="A9" s="3" t="n">
        <v>6</v>
      </c>
      <c r="B9" s="3" t="inlineStr">
        <is>
          <t>Вн-11</t>
        </is>
      </c>
      <c r="C9" s="3" t="n">
        <v>2450</v>
      </c>
      <c r="D9" s="3" t="n">
        <v>4820</v>
      </c>
      <c r="E9" s="4">
        <f>ROUND(L9/K9,2)</f>
        <v/>
      </c>
      <c r="F9" s="3" t="n"/>
      <c r="G9" s="3" t="n"/>
      <c r="H9" s="3" t="n"/>
      <c r="I9" s="3" t="n">
        <v>1</v>
      </c>
      <c r="J9" s="3" t="n"/>
      <c r="K9" s="3">
        <f>SUM(F9:J9)</f>
        <v/>
      </c>
      <c r="L9" s="5" t="n">
        <v>11.09</v>
      </c>
      <c r="M9" s="3" t="inlineStr">
        <is>
          <t>-6.000</t>
        </is>
      </c>
      <c r="N9" s="6" t="inlineStr"/>
      <c r="O9" s="6" t="inlineStr"/>
    </row>
    <row r="10">
      <c r="A10" s="3" t="n">
        <v>7</v>
      </c>
      <c r="B10" s="3" t="inlineStr">
        <is>
          <t>Вн-12</t>
        </is>
      </c>
      <c r="C10" s="3" t="n">
        <v>3370</v>
      </c>
      <c r="D10" s="3" t="n">
        <v>4820</v>
      </c>
      <c r="E10" s="4">
        <f>ROUND(L10/K10,2)</f>
        <v/>
      </c>
      <c r="F10" s="3" t="n"/>
      <c r="G10" s="3" t="n"/>
      <c r="H10" s="3" t="n"/>
      <c r="I10" s="3" t="n">
        <v>1</v>
      </c>
      <c r="J10" s="3" t="n"/>
      <c r="K10" s="3">
        <f>SUM(F10:J10)</f>
        <v/>
      </c>
      <c r="L10" s="5" t="n">
        <v>15.6</v>
      </c>
      <c r="M10" s="3" t="inlineStr">
        <is>
          <t>-6.000</t>
        </is>
      </c>
      <c r="N10" s="6" t="inlineStr">
        <is>
          <t>Д17*</t>
        </is>
      </c>
      <c r="O10" s="6" t="inlineStr"/>
    </row>
    <row r="11">
      <c r="A11" s="3" t="n">
        <v>8</v>
      </c>
      <c r="B11" s="3" t="inlineStr">
        <is>
          <t>Вн-13</t>
        </is>
      </c>
      <c r="C11" s="3" t="n">
        <v>3200</v>
      </c>
      <c r="D11" s="3" t="n">
        <v>4820</v>
      </c>
      <c r="E11" s="4">
        <f>ROUND(L11/K11,2)</f>
        <v/>
      </c>
      <c r="F11" s="3" t="n"/>
      <c r="G11" s="3" t="n"/>
      <c r="H11" s="3" t="n">
        <v>1</v>
      </c>
      <c r="I11" s="3" t="n"/>
      <c r="J11" s="3" t="n"/>
      <c r="K11" s="3">
        <f>SUM(F11:J11)</f>
        <v/>
      </c>
      <c r="L11" s="5" t="n">
        <v>14.74</v>
      </c>
      <c r="M11" s="3" t="inlineStr">
        <is>
          <t>-6.000</t>
        </is>
      </c>
      <c r="N11" s="6" t="inlineStr"/>
      <c r="O11" s="6" t="inlineStr"/>
    </row>
    <row r="12">
      <c r="A12" s="3" t="n">
        <v>9</v>
      </c>
      <c r="B12" s="3" t="inlineStr">
        <is>
          <t>Вн-14</t>
        </is>
      </c>
      <c r="C12" s="3" t="n">
        <v>2485</v>
      </c>
      <c r="D12" s="3" t="n">
        <v>4820</v>
      </c>
      <c r="E12" s="4">
        <f>ROUND(L12/K12,2)</f>
        <v/>
      </c>
      <c r="F12" s="3" t="n">
        <v>1</v>
      </c>
      <c r="G12" s="3" t="n"/>
      <c r="H12" s="3" t="n"/>
      <c r="I12" s="3" t="n"/>
      <c r="J12" s="3" t="n"/>
      <c r="K12" s="3">
        <f>SUM(F12:J12)</f>
        <v/>
      </c>
      <c r="L12" s="5" t="n">
        <v>11.14</v>
      </c>
      <c r="M12" s="3" t="inlineStr">
        <is>
          <t>-6.000</t>
        </is>
      </c>
      <c r="N12" s="6" t="inlineStr">
        <is>
          <t>Д17*</t>
        </is>
      </c>
      <c r="O12" s="6" t="inlineStr"/>
    </row>
    <row r="13">
      <c r="A13" s="3" t="n">
        <v>10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ROUND(L13/K13,2)</f>
        <v/>
      </c>
      <c r="F13" s="3" t="n">
        <v>1</v>
      </c>
      <c r="G13" s="3" t="n">
        <v>1</v>
      </c>
      <c r="H13" s="3" t="n"/>
      <c r="I13" s="3" t="n"/>
      <c r="J13" s="3" t="n"/>
      <c r="K13" s="3">
        <f>SUM(F13:J13)</f>
        <v/>
      </c>
      <c r="L13" s="5" t="n">
        <v>11.62</v>
      </c>
      <c r="M13" s="3" t="inlineStr">
        <is>
          <t>-6.000</t>
        </is>
      </c>
      <c r="N13" s="6" t="inlineStr">
        <is>
          <t>Д17*</t>
        </is>
      </c>
      <c r="O13" s="6" t="inlineStr"/>
    </row>
    <row r="14">
      <c r="A14" s="3" t="n">
        <v>11</v>
      </c>
      <c r="B14" s="3" t="inlineStr">
        <is>
          <t>Вн-16</t>
        </is>
      </c>
      <c r="C14" s="3" t="n">
        <v>1200</v>
      </c>
      <c r="D14" s="3" t="n">
        <v>4820</v>
      </c>
      <c r="E14" s="4">
        <f>ROUND(L14/K14,2)</f>
        <v/>
      </c>
      <c r="F14" s="3" t="n"/>
      <c r="G14" s="3" t="n"/>
      <c r="H14" s="3" t="n">
        <v>3</v>
      </c>
      <c r="I14" s="3" t="n"/>
      <c r="J14" s="3" t="n"/>
      <c r="K14" s="3">
        <f>SUM(F14:J14)</f>
        <v/>
      </c>
      <c r="L14" s="5" t="n">
        <v>18.57</v>
      </c>
      <c r="M14" s="3" t="inlineStr">
        <is>
          <t>-6.000</t>
        </is>
      </c>
      <c r="N14" s="6" t="inlineStr">
        <is>
          <t>Д35</t>
        </is>
      </c>
      <c r="O14" s="6" t="inlineStr">
        <is>
          <t>1 шт. у лестницы на границе литеров В/Г отнесён к литеру В</t>
        </is>
      </c>
    </row>
    <row r="15">
      <c r="A15" s="3" t="n">
        <v>12</v>
      </c>
      <c r="B15" s="3" t="inlineStr">
        <is>
          <t>Вн-17</t>
        </is>
      </c>
      <c r="C15" s="3" t="n">
        <v>4200</v>
      </c>
      <c r="D15" s="3" t="n">
        <v>4820</v>
      </c>
      <c r="E15" s="4">
        <f>ROUND(L15/K15,2)</f>
        <v/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>
        <f>SUM(F15:J15)</f>
        <v/>
      </c>
      <c r="L15" s="5" t="n">
        <v>77.13</v>
      </c>
      <c r="M15" s="3" t="inlineStr">
        <is>
          <t>-6.000</t>
        </is>
      </c>
      <c r="N15" s="6" t="inlineStr">
        <is>
          <t>Д17*</t>
        </is>
      </c>
      <c r="O15" s="6" t="inlineStr">
        <is>
          <t>Лит. Г: на чертеже 2 шт., в КП 1</t>
        </is>
      </c>
    </row>
    <row r="16">
      <c r="A16" s="3" t="n">
        <v>13</v>
      </c>
      <c r="B16" s="3" t="inlineStr">
        <is>
          <t>Вн-18</t>
        </is>
      </c>
      <c r="C16" s="3" t="n">
        <v>2600</v>
      </c>
      <c r="D16" s="3" t="n">
        <v>4820</v>
      </c>
      <c r="E16" s="4">
        <f>ROUND(L16/K16,2)</f>
        <v/>
      </c>
      <c r="F16" s="3" t="n"/>
      <c r="G16" s="3" t="n">
        <v>1</v>
      </c>
      <c r="H16" s="3" t="n"/>
      <c r="I16" s="3" t="n"/>
      <c r="J16" s="3" t="n"/>
      <c r="K16" s="3">
        <f>SUM(F16:J16)</f>
        <v/>
      </c>
      <c r="L16" s="5" t="n">
        <v>11.9</v>
      </c>
      <c r="M16" s="3" t="inlineStr">
        <is>
          <t>-6.000</t>
        </is>
      </c>
      <c r="N16" s="6" t="inlineStr">
        <is>
          <t>Д17*</t>
        </is>
      </c>
      <c r="O16" s="6" t="inlineStr"/>
    </row>
    <row r="17">
      <c r="A17" s="3" t="n">
        <v>14</v>
      </c>
      <c r="B17" s="3" t="inlineStr">
        <is>
          <t>Вн-19</t>
        </is>
      </c>
      <c r="C17" s="3" t="n">
        <v>3000</v>
      </c>
      <c r="D17" s="3" t="n">
        <v>4820</v>
      </c>
      <c r="E17" s="4">
        <f>ROUND(L17/K17,2)</f>
        <v/>
      </c>
      <c r="F17" s="3" t="n"/>
      <c r="G17" s="3" t="n"/>
      <c r="H17" s="3" t="n">
        <v>2</v>
      </c>
      <c r="I17" s="3" t="n"/>
      <c r="J17" s="3" t="n"/>
      <c r="K17" s="3">
        <f>SUM(F17:J17)</f>
        <v/>
      </c>
      <c r="L17" s="5" t="n">
        <v>24.67</v>
      </c>
      <c r="M17" s="3" t="inlineStr">
        <is>
          <t>-6.000</t>
        </is>
      </c>
      <c r="N17" s="6" t="inlineStr">
        <is>
          <t>Д17*</t>
        </is>
      </c>
      <c r="O17" s="6" t="inlineStr"/>
    </row>
    <row r="18">
      <c r="A18" s="3" t="n">
        <v>15</v>
      </c>
      <c r="B18" s="3" t="inlineStr">
        <is>
          <t>Вн-20</t>
        </is>
      </c>
      <c r="C18" s="3" t="n">
        <v>3900</v>
      </c>
      <c r="D18" s="3" t="n">
        <v>4820</v>
      </c>
      <c r="E18" s="4">
        <f>ROUND(L18/K18,2)</f>
        <v/>
      </c>
      <c r="F18" s="3" t="n"/>
      <c r="G18" s="3" t="n"/>
      <c r="H18" s="3" t="n"/>
      <c r="I18" s="3" t="n">
        <v>1</v>
      </c>
      <c r="J18" s="3" t="n"/>
      <c r="K18" s="3">
        <f>SUM(F18:J18)</f>
        <v/>
      </c>
      <c r="L18" s="5" t="n">
        <v>18.43</v>
      </c>
      <c r="M18" s="3" t="inlineStr">
        <is>
          <t>-6.000</t>
        </is>
      </c>
      <c r="N18" s="6" t="inlineStr"/>
      <c r="O18" s="6" t="inlineStr"/>
    </row>
    <row r="19">
      <c r="A19" s="3" t="n">
        <v>16</v>
      </c>
      <c r="B19" s="3" t="inlineStr">
        <is>
          <t>Вн-21</t>
        </is>
      </c>
      <c r="C19" s="3" t="n">
        <v>2920</v>
      </c>
      <c r="D19" s="3" t="n">
        <v>4820</v>
      </c>
      <c r="E19" s="4">
        <f>ROUND(L19/K19,2)</f>
        <v/>
      </c>
      <c r="F19" s="3" t="n"/>
      <c r="G19" s="3" t="n"/>
      <c r="H19" s="3" t="n"/>
      <c r="I19" s="3" t="n">
        <v>1</v>
      </c>
      <c r="J19" s="3" t="n"/>
      <c r="K19" s="3">
        <f>SUM(F19:J19)</f>
        <v/>
      </c>
      <c r="L19" s="5" t="n">
        <v>14.02</v>
      </c>
      <c r="M19" s="3" t="inlineStr">
        <is>
          <t>-6.000</t>
        </is>
      </c>
      <c r="N19" s="6" t="inlineStr"/>
      <c r="O19" s="6" t="inlineStr"/>
    </row>
    <row r="20">
      <c r="A20" s="3" t="n">
        <v>17</v>
      </c>
      <c r="B20" s="3" t="inlineStr">
        <is>
          <t>Вн-22</t>
        </is>
      </c>
      <c r="C20" s="3" t="n">
        <v>2150</v>
      </c>
      <c r="D20" s="3" t="n">
        <v>2720</v>
      </c>
      <c r="E20" s="4">
        <f>ROUND(L20/K20,2)</f>
        <v/>
      </c>
      <c r="F20" s="3" t="n">
        <v>5</v>
      </c>
      <c r="G20" s="3" t="n">
        <v>5</v>
      </c>
      <c r="H20" s="3" t="n">
        <v>1</v>
      </c>
      <c r="I20" s="3" t="n"/>
      <c r="J20" s="3" t="n"/>
      <c r="K20" s="3">
        <f>SUM(F20:J20)</f>
        <v/>
      </c>
      <c r="L20" s="5" t="n">
        <v>62.85</v>
      </c>
      <c r="M20" s="3" t="inlineStr">
        <is>
          <t>0.000</t>
        </is>
      </c>
      <c r="N20" s="6" t="inlineStr">
        <is>
          <t>Д17*, Д35</t>
        </is>
      </c>
      <c r="O20" s="6" t="inlineStr">
        <is>
          <t>КП: 2070×2760. На чертеже 18 шт., в КП 11 (А5, Б5, В1)</t>
        </is>
      </c>
    </row>
    <row r="21">
      <c r="A21" s="7" t="n"/>
      <c r="B21" s="8" t="inlineStr">
        <is>
          <t>ИТОГО</t>
        </is>
      </c>
      <c r="C21" s="7" t="n"/>
      <c r="D21" s="7" t="n"/>
      <c r="E21" s="9" t="n"/>
      <c r="F21" s="8">
        <f>SUM(F4:F20)</f>
        <v/>
      </c>
      <c r="G21" s="8">
        <f>SUM(G4:G20)</f>
        <v/>
      </c>
      <c r="H21" s="8">
        <f>SUM(H4:H20)</f>
        <v/>
      </c>
      <c r="I21" s="8">
        <f>SUM(I4:I20)</f>
        <v/>
      </c>
      <c r="J21" s="8">
        <f>SUM(J4:J20)</f>
        <v/>
      </c>
      <c r="K21" s="8">
        <f>SUM(K4:K20)</f>
        <v/>
      </c>
      <c r="L21" s="10">
        <f>SUM(L4:L20)</f>
        <v/>
      </c>
      <c r="M21" s="7" t="n"/>
      <c r="N21" s="11" t="n"/>
      <c r="O21" s="11" t="n"/>
    </row>
    <row r="23">
      <c r="A23" t="inlineStr">
        <is>
          <t>Размеры — из таблицы заказчика (длина × высота). Количество — по чертежам, но не больше, чем в КП. Площади — по КП (площадь 1 шт — средняя).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8" customWidth="1" min="3" max="3"/>
    <col width="12" customWidth="1" min="4" max="4"/>
    <col width="8" customWidth="1" min="5" max="5"/>
    <col width="8" customWidth="1" min="6" max="6"/>
    <col width="10" customWidth="1" min="7" max="7"/>
    <col width="12" customWidth="1" min="8" max="8"/>
    <col width="10" customWidth="1" min="9" max="9"/>
    <col width="10" customWidth="1" min="10" max="10"/>
    <col width="12" customWidth="1" min="11" max="11"/>
    <col width="11" customWidth="1" min="12" max="12"/>
    <col width="9" customWidth="1" min="13" max="13"/>
    <col width="40" customWidth="1" min="14" max="14"/>
  </cols>
  <sheetData>
    <row r="1">
      <c r="A1" s="1" t="inlineStr">
        <is>
          <t>Сверка спецификации с ВДЦ (Приложение № 2, лист «Корректировка»). К закрытию — меньшее из ВДЦ и спецификации, площадь по размерам ВДЦ</t>
        </is>
      </c>
    </row>
    <row r="2">
      <c r="A2" t="inlineStr">
        <is>
          <t>Строка ВДЦ — номер строки «Изготовление и монтаж» на листе «Корректировка»</t>
        </is>
      </c>
    </row>
    <row r="3" ht="62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Марка</t>
        </is>
      </c>
      <c r="D3" s="2" t="inlineStr">
        <is>
          <t>Размер по ВДЦ, мм</t>
        </is>
      </c>
      <c r="E3" s="2" t="inlineStr">
        <is>
          <t>Строка ВДЦ</t>
        </is>
      </c>
      <c r="F3" s="2" t="inlineStr">
        <is>
          <t>По ВДЦ, шт</t>
        </is>
      </c>
      <c r="G3" s="2" t="inlineStr">
        <is>
          <t>По ВДЦ, м²</t>
        </is>
      </c>
      <c r="H3" s="2" t="inlineStr">
        <is>
          <t>По спецификации, шт</t>
        </is>
      </c>
      <c r="I3" s="2" t="inlineStr">
        <is>
          <t>Площадь по КП, м²</t>
        </is>
      </c>
      <c r="J3" s="2" t="inlineStr">
        <is>
          <t>К закрытию, шт</t>
        </is>
      </c>
      <c r="K3" s="2" t="inlineStr">
        <is>
          <t>К закрытию по ВДЦ, м²</t>
        </is>
      </c>
      <c r="L3" s="2" t="inlineStr">
        <is>
          <t>Не закрыто по ВДЦ, шт</t>
        </is>
      </c>
      <c r="M3" s="2" t="inlineStr">
        <is>
          <t>Сверх ВДЦ, шт</t>
        </is>
      </c>
      <c r="N3" s="2" t="inlineStr">
        <is>
          <t>Замечание</t>
        </is>
      </c>
    </row>
    <row r="4">
      <c r="A4" s="12" t="n">
        <v>1</v>
      </c>
      <c r="B4" s="12" t="inlineStr">
        <is>
          <t>А</t>
        </is>
      </c>
      <c r="C4" s="12" t="inlineStr">
        <is>
          <t>Вн-6</t>
        </is>
      </c>
      <c r="D4" s="12" t="inlineStr">
        <is>
          <t>4200×4820</t>
        </is>
      </c>
      <c r="E4" s="12" t="n">
        <v>18</v>
      </c>
      <c r="F4" s="12" t="n">
        <v>4</v>
      </c>
      <c r="G4" s="13">
        <f>4.2*4.82*4</f>
        <v/>
      </c>
      <c r="H4" s="12" t="n">
        <v>3</v>
      </c>
      <c r="I4" s="13" t="n">
        <v>59.76</v>
      </c>
      <c r="J4" s="12">
        <f>MIN(F4,N(H4))</f>
        <v/>
      </c>
      <c r="K4" s="13">
        <f>ROUND(G4/F4*J4,2)</f>
        <v/>
      </c>
      <c r="L4" s="12">
        <f>F4-J4</f>
        <v/>
      </c>
      <c r="M4" s="12">
        <f>N(H4)-J4</f>
        <v/>
      </c>
      <c r="N4" s="14" t="inlineStr">
        <is>
          <t>1 шт. из КП перенесена в лит. Г</t>
        </is>
      </c>
    </row>
    <row r="5">
      <c r="A5" s="3" t="n">
        <v>2</v>
      </c>
      <c r="B5" s="3" t="inlineStr">
        <is>
          <t>А</t>
        </is>
      </c>
      <c r="C5" s="3" t="inlineStr">
        <is>
          <t>Вн-8</t>
        </is>
      </c>
      <c r="D5" s="3" t="inlineStr">
        <is>
          <t>2600×4820</t>
        </is>
      </c>
      <c r="E5" s="3" t="n">
        <v>20</v>
      </c>
      <c r="F5" s="3" t="n">
        <v>1</v>
      </c>
      <c r="G5" s="5">
        <f>2.6*4.82*1</f>
        <v/>
      </c>
      <c r="H5" s="3" t="n">
        <v>1</v>
      </c>
      <c r="I5" s="5" t="n">
        <v>12.34</v>
      </c>
      <c r="J5" s="3">
        <f>MIN(F5,N(H5))</f>
        <v/>
      </c>
      <c r="K5" s="5">
        <f>ROUND(G5/F5*J5,2)</f>
        <v/>
      </c>
      <c r="L5" s="3">
        <f>F5-J5</f>
        <v/>
      </c>
      <c r="M5" s="3">
        <f>N(H5)-J5</f>
        <v/>
      </c>
      <c r="N5" s="6" t="inlineStr">
        <is>
          <t>кол-во совпадает</t>
        </is>
      </c>
    </row>
    <row r="6">
      <c r="A6" s="3" t="n">
        <v>3</v>
      </c>
      <c r="B6" s="3" t="inlineStr">
        <is>
          <t>А</t>
        </is>
      </c>
      <c r="C6" s="3" t="inlineStr">
        <is>
          <t>Вн-14</t>
        </is>
      </c>
      <c r="D6" s="3" t="inlineStr">
        <is>
          <t>2485×4820</t>
        </is>
      </c>
      <c r="E6" s="3" t="n">
        <v>22</v>
      </c>
      <c r="F6" s="3" t="n">
        <v>1</v>
      </c>
      <c r="G6" s="5">
        <f>2.485*4.82*1</f>
        <v/>
      </c>
      <c r="H6" s="3" t="n">
        <v>1</v>
      </c>
      <c r="I6" s="5" t="n">
        <v>11.14</v>
      </c>
      <c r="J6" s="3">
        <f>MIN(F6,N(H6))</f>
        <v/>
      </c>
      <c r="K6" s="5">
        <f>ROUND(G6/F6*J6,2)</f>
        <v/>
      </c>
      <c r="L6" s="3">
        <f>F6-J6</f>
        <v/>
      </c>
      <c r="M6" s="3">
        <f>N(H6)-J6</f>
        <v/>
      </c>
      <c r="N6" s="6" t="inlineStr">
        <is>
          <t>кол-во совпадает; размер по КП 2320×4800 — отличается от ВДЦ более чем на 5%</t>
        </is>
      </c>
    </row>
    <row r="7">
      <c r="A7" s="3" t="n">
        <v>4</v>
      </c>
      <c r="B7" s="3" t="inlineStr">
        <is>
          <t>А</t>
        </is>
      </c>
      <c r="C7" s="3" t="inlineStr">
        <is>
          <t>Вн-15</t>
        </is>
      </c>
      <c r="D7" s="3" t="inlineStr">
        <is>
          <t>1400×4820</t>
        </is>
      </c>
      <c r="E7" s="3" t="n">
        <v>24</v>
      </c>
      <c r="F7" s="3" t="n">
        <v>1</v>
      </c>
      <c r="G7" s="5">
        <f>1.4*4.82*1</f>
        <v/>
      </c>
      <c r="H7" s="3" t="n">
        <v>1</v>
      </c>
      <c r="I7" s="5" t="n">
        <v>5.62</v>
      </c>
      <c r="J7" s="3">
        <f>MIN(F7,N(H7))</f>
        <v/>
      </c>
      <c r="K7" s="5">
        <f>ROUND(G7/F7*J7,2)</f>
        <v/>
      </c>
      <c r="L7" s="3">
        <f>F7-J7</f>
        <v/>
      </c>
      <c r="M7" s="3">
        <f>N(H7)-J7</f>
        <v/>
      </c>
      <c r="N7" s="6" t="inlineStr">
        <is>
          <t>кол-во совпадает; размер по КП 1170×4800 — отличается от ВДЦ более чем на 5%</t>
        </is>
      </c>
    </row>
    <row r="8">
      <c r="A8" s="3" t="n">
        <v>5</v>
      </c>
      <c r="B8" s="3" t="inlineStr">
        <is>
          <t>А</t>
        </is>
      </c>
      <c r="C8" s="3" t="inlineStr">
        <is>
          <t>Вн-22</t>
        </is>
      </c>
      <c r="D8" s="3" t="inlineStr">
        <is>
          <t>2150×2720</t>
        </is>
      </c>
      <c r="E8" s="3" t="n">
        <v>26</v>
      </c>
      <c r="F8" s="3" t="n">
        <v>5</v>
      </c>
      <c r="G8" s="5">
        <f>2.15*2.72*5</f>
        <v/>
      </c>
      <c r="H8" s="3" t="n">
        <v>5</v>
      </c>
      <c r="I8" s="5" t="n">
        <v>28.57</v>
      </c>
      <c r="J8" s="3">
        <f>MIN(F8,N(H8))</f>
        <v/>
      </c>
      <c r="K8" s="5">
        <f>ROUND(G8/F8*J8,2)</f>
        <v/>
      </c>
      <c r="L8" s="3">
        <f>F8-J8</f>
        <v/>
      </c>
      <c r="M8" s="3">
        <f>N(H8)-J8</f>
        <v/>
      </c>
      <c r="N8" s="6" t="inlineStr">
        <is>
          <t>кол-во совпадает</t>
        </is>
      </c>
    </row>
    <row r="9">
      <c r="A9" s="12" t="n">
        <v>6</v>
      </c>
      <c r="B9" s="12" t="inlineStr">
        <is>
          <t>А</t>
        </is>
      </c>
      <c r="C9" s="12" t="inlineStr">
        <is>
          <t>Вн-23</t>
        </is>
      </c>
      <c r="D9" s="12" t="inlineStr">
        <is>
          <t>3540×3020</t>
        </is>
      </c>
      <c r="E9" s="12" t="n">
        <v>28</v>
      </c>
      <c r="F9" s="12" t="n">
        <v>1</v>
      </c>
      <c r="G9" s="13">
        <f>3.54*3.02*1</f>
        <v/>
      </c>
      <c r="H9" s="12" t="n"/>
      <c r="I9" s="13" t="n"/>
      <c r="J9" s="12">
        <f>MIN(F9,N(H9))</f>
        <v/>
      </c>
      <c r="K9" s="13">
        <f>ROUND(G9/F9*J9,2)</f>
        <v/>
      </c>
      <c r="L9" s="12">
        <f>F9-J9</f>
        <v/>
      </c>
      <c r="M9" s="12">
        <f>N(H9)-J9</f>
        <v/>
      </c>
      <c r="N9" s="14" t="inlineStr">
        <is>
          <t>нет в спецификации (нет в КП)</t>
        </is>
      </c>
    </row>
    <row r="10">
      <c r="A10" s="12" t="n">
        <v>7</v>
      </c>
      <c r="B10" s="12" t="inlineStr">
        <is>
          <t>А</t>
        </is>
      </c>
      <c r="C10" s="12" t="inlineStr">
        <is>
          <t>Вн-24</t>
        </is>
      </c>
      <c r="D10" s="12" t="inlineStr">
        <is>
          <t>2610×3020</t>
        </is>
      </c>
      <c r="E10" s="12" t="n">
        <v>30</v>
      </c>
      <c r="F10" s="12" t="n">
        <v>1</v>
      </c>
      <c r="G10" s="13">
        <f>2.61*3.02*1</f>
        <v/>
      </c>
      <c r="H10" s="12" t="n"/>
      <c r="I10" s="13" t="n"/>
      <c r="J10" s="12">
        <f>MIN(F10,N(H10))</f>
        <v/>
      </c>
      <c r="K10" s="13">
        <f>ROUND(G10/F10*J10,2)</f>
        <v/>
      </c>
      <c r="L10" s="12">
        <f>F10-J10</f>
        <v/>
      </c>
      <c r="M10" s="12">
        <f>N(H10)-J10</f>
        <v/>
      </c>
      <c r="N10" s="14" t="inlineStr">
        <is>
          <t>нет в спецификации (нет в КП)</t>
        </is>
      </c>
    </row>
    <row r="11">
      <c r="A11" s="12" t="n">
        <v>8</v>
      </c>
      <c r="B11" s="12" t="inlineStr">
        <is>
          <t>Б</t>
        </is>
      </c>
      <c r="C11" s="12" t="inlineStr">
        <is>
          <t>Вн-6</t>
        </is>
      </c>
      <c r="D11" s="12" t="inlineStr">
        <is>
          <t>4200×4820</t>
        </is>
      </c>
      <c r="E11" s="12" t="n">
        <v>42</v>
      </c>
      <c r="F11" s="12" t="n">
        <v>4</v>
      </c>
      <c r="G11" s="13">
        <f>4.2*4.82*4</f>
        <v/>
      </c>
      <c r="H11" s="12" t="n">
        <v>3</v>
      </c>
      <c r="I11" s="13" t="n">
        <v>58.46</v>
      </c>
      <c r="J11" s="12">
        <f>MIN(F11,N(H11))</f>
        <v/>
      </c>
      <c r="K11" s="13">
        <f>ROUND(G11/F11*J11,2)</f>
        <v/>
      </c>
      <c r="L11" s="12">
        <f>F11-J11</f>
        <v/>
      </c>
      <c r="M11" s="12">
        <f>N(H11)-J11</f>
        <v/>
      </c>
      <c r="N11" s="14" t="inlineStr">
        <is>
          <t>1 шт. из КП перенесена в лит. Г</t>
        </is>
      </c>
    </row>
    <row r="12">
      <c r="A12" s="3" t="n">
        <v>9</v>
      </c>
      <c r="B12" s="3" t="inlineStr">
        <is>
          <t>Б</t>
        </is>
      </c>
      <c r="C12" s="3" t="inlineStr">
        <is>
          <t>Вн-15</t>
        </is>
      </c>
      <c r="D12" s="3" t="inlineStr">
        <is>
          <t>1400×4820</t>
        </is>
      </c>
      <c r="E12" s="3" t="n">
        <v>44</v>
      </c>
      <c r="F12" s="3" t="n">
        <v>1</v>
      </c>
      <c r="G12" s="5">
        <f>1.4*4.82</f>
        <v/>
      </c>
      <c r="H12" s="3" t="n">
        <v>1</v>
      </c>
      <c r="I12" s="5" t="n">
        <v>6</v>
      </c>
      <c r="J12" s="3">
        <f>MIN(F12,N(H12))</f>
        <v/>
      </c>
      <c r="K12" s="5">
        <f>ROUND(G12/F12*J12,2)</f>
        <v/>
      </c>
      <c r="L12" s="3">
        <f>F12-J12</f>
        <v/>
      </c>
      <c r="M12" s="3">
        <f>N(H12)-J12</f>
        <v/>
      </c>
      <c r="N12" s="6" t="inlineStr">
        <is>
          <t>кол-во совпадает; размер по КП 1250×4800 — отличается от ВДЦ более чем на 5%</t>
        </is>
      </c>
    </row>
    <row r="13">
      <c r="A13" s="3" t="n">
        <v>10</v>
      </c>
      <c r="B13" s="3" t="inlineStr">
        <is>
          <t>Б</t>
        </is>
      </c>
      <c r="C13" s="3" t="inlineStr">
        <is>
          <t>Вн-17</t>
        </is>
      </c>
      <c r="D13" s="3" t="inlineStr">
        <is>
          <t>4200×4820</t>
        </is>
      </c>
      <c r="E13" s="3" t="n">
        <v>46</v>
      </c>
      <c r="F13" s="3" t="n">
        <v>1</v>
      </c>
      <c r="G13" s="5">
        <f>4.2*4.82</f>
        <v/>
      </c>
      <c r="H13" s="3" t="n">
        <v>1</v>
      </c>
      <c r="I13" s="5" t="n">
        <v>19.49</v>
      </c>
      <c r="J13" s="3">
        <f>MIN(F13,N(H13))</f>
        <v/>
      </c>
      <c r="K13" s="5">
        <f>ROUND(G13/F13*J13,2)</f>
        <v/>
      </c>
      <c r="L13" s="3">
        <f>F13-J13</f>
        <v/>
      </c>
      <c r="M13" s="3">
        <f>N(H13)-J13</f>
        <v/>
      </c>
      <c r="N13" s="6" t="inlineStr">
        <is>
          <t>кол-во совпадает</t>
        </is>
      </c>
    </row>
    <row r="14">
      <c r="A14" s="3" t="n">
        <v>11</v>
      </c>
      <c r="B14" s="3" t="inlineStr">
        <is>
          <t>Б</t>
        </is>
      </c>
      <c r="C14" s="3" t="inlineStr">
        <is>
          <t>Вн-18</t>
        </is>
      </c>
      <c r="D14" s="3" t="inlineStr">
        <is>
          <t>2600×4820</t>
        </is>
      </c>
      <c r="E14" s="3" t="n">
        <v>48</v>
      </c>
      <c r="F14" s="3" t="n">
        <v>1</v>
      </c>
      <c r="G14" s="5">
        <f>2.6*4.82</f>
        <v/>
      </c>
      <c r="H14" s="3" t="n">
        <v>1</v>
      </c>
      <c r="I14" s="5" t="n">
        <v>11.9</v>
      </c>
      <c r="J14" s="3">
        <f>MIN(F14,N(H14))</f>
        <v/>
      </c>
      <c r="K14" s="5">
        <f>ROUND(G14/F14*J14,2)</f>
        <v/>
      </c>
      <c r="L14" s="3">
        <f>F14-J14</f>
        <v/>
      </c>
      <c r="M14" s="3">
        <f>N(H14)-J14</f>
        <v/>
      </c>
      <c r="N14" s="6" t="inlineStr">
        <is>
          <t>кол-во совпадает; размер по КП 2480×4800 — отличается от ВДЦ более чем на 5%</t>
        </is>
      </c>
    </row>
    <row r="15">
      <c r="A15" s="3" t="n">
        <v>12</v>
      </c>
      <c r="B15" s="3" t="inlineStr">
        <is>
          <t>Б</t>
        </is>
      </c>
      <c r="C15" s="3" t="inlineStr">
        <is>
          <t>Вн-22</t>
        </is>
      </c>
      <c r="D15" s="3" t="inlineStr">
        <is>
          <t>2150×2720</t>
        </is>
      </c>
      <c r="E15" s="3" t="n">
        <v>50</v>
      </c>
      <c r="F15" s="3" t="n">
        <v>5</v>
      </c>
      <c r="G15" s="5">
        <f>2.15*2.72*5</f>
        <v/>
      </c>
      <c r="H15" s="3" t="n">
        <v>5</v>
      </c>
      <c r="I15" s="5" t="n">
        <v>28.57</v>
      </c>
      <c r="J15" s="3">
        <f>MIN(F15,N(H15))</f>
        <v/>
      </c>
      <c r="K15" s="5">
        <f>ROUND(G15/F15*J15,2)</f>
        <v/>
      </c>
      <c r="L15" s="3">
        <f>F15-J15</f>
        <v/>
      </c>
      <c r="M15" s="3">
        <f>N(H15)-J15</f>
        <v/>
      </c>
      <c r="N15" s="6" t="inlineStr">
        <is>
          <t>кол-во совпадает</t>
        </is>
      </c>
    </row>
    <row r="16">
      <c r="A16" s="12" t="n">
        <v>13</v>
      </c>
      <c r="B16" s="12" t="inlineStr">
        <is>
          <t>Б</t>
        </is>
      </c>
      <c r="C16" s="12" t="inlineStr">
        <is>
          <t>Вн-23</t>
        </is>
      </c>
      <c r="D16" s="12" t="inlineStr">
        <is>
          <t>3540×3020</t>
        </is>
      </c>
      <c r="E16" s="12" t="n">
        <v>52</v>
      </c>
      <c r="F16" s="12" t="n">
        <v>1</v>
      </c>
      <c r="G16" s="13">
        <f>3.54*3.02*1</f>
        <v/>
      </c>
      <c r="H16" s="12" t="n"/>
      <c r="I16" s="13" t="n"/>
      <c r="J16" s="12">
        <f>MIN(F16,N(H16))</f>
        <v/>
      </c>
      <c r="K16" s="13">
        <f>ROUND(G16/F16*J16,2)</f>
        <v/>
      </c>
      <c r="L16" s="12">
        <f>F16-J16</f>
        <v/>
      </c>
      <c r="M16" s="12">
        <f>N(H16)-J16</f>
        <v/>
      </c>
      <c r="N16" s="14" t="inlineStr">
        <is>
          <t>нет в спецификации (нет в КП)</t>
        </is>
      </c>
    </row>
    <row r="17">
      <c r="A17" s="12" t="n">
        <v>14</v>
      </c>
      <c r="B17" s="12" t="inlineStr">
        <is>
          <t>Б</t>
        </is>
      </c>
      <c r="C17" s="12" t="inlineStr">
        <is>
          <t>Вн-24</t>
        </is>
      </c>
      <c r="D17" s="12" t="inlineStr">
        <is>
          <t>2610×3020</t>
        </is>
      </c>
      <c r="E17" s="12" t="n">
        <v>54</v>
      </c>
      <c r="F17" s="12" t="n">
        <v>1</v>
      </c>
      <c r="G17" s="13">
        <f>2.61*3.02*1</f>
        <v/>
      </c>
      <c r="H17" s="12" t="n"/>
      <c r="I17" s="13" t="n"/>
      <c r="J17" s="12">
        <f>MIN(F17,N(H17))</f>
        <v/>
      </c>
      <c r="K17" s="13">
        <f>ROUND(G17/F17*J17,2)</f>
        <v/>
      </c>
      <c r="L17" s="12">
        <f>F17-J17</f>
        <v/>
      </c>
      <c r="M17" s="12">
        <f>N(H17)-J17</f>
        <v/>
      </c>
      <c r="N17" s="14" t="inlineStr">
        <is>
          <t>нет в спецификации (нет в КП)</t>
        </is>
      </c>
    </row>
    <row r="18">
      <c r="A18" s="3" t="n">
        <v>15</v>
      </c>
      <c r="B18" s="3" t="inlineStr">
        <is>
          <t>В</t>
        </is>
      </c>
      <c r="C18" s="3" t="inlineStr">
        <is>
          <t>Вн-6</t>
        </is>
      </c>
      <c r="D18" s="3" t="inlineStr">
        <is>
          <t>4200×4820</t>
        </is>
      </c>
      <c r="E18" s="3" t="n">
        <v>66</v>
      </c>
      <c r="F18" s="3" t="n">
        <v>1</v>
      </c>
      <c r="G18" s="5">
        <f>4.2*4.82*1</f>
        <v/>
      </c>
      <c r="H18" s="3" t="n">
        <v>1</v>
      </c>
      <c r="I18" s="5" t="n">
        <v>19.63</v>
      </c>
      <c r="J18" s="3">
        <f>MIN(F18,N(H18))</f>
        <v/>
      </c>
      <c r="K18" s="5">
        <f>ROUND(G18/F18*J18,2)</f>
        <v/>
      </c>
      <c r="L18" s="3">
        <f>F18-J18</f>
        <v/>
      </c>
      <c r="M18" s="3">
        <f>N(H18)-J18</f>
        <v/>
      </c>
      <c r="N18" s="6" t="inlineStr">
        <is>
          <t>кол-во совпадает</t>
        </is>
      </c>
    </row>
    <row r="19">
      <c r="A19" s="3" t="n">
        <v>16</v>
      </c>
      <c r="B19" s="3" t="inlineStr">
        <is>
          <t>В</t>
        </is>
      </c>
      <c r="C19" s="3" t="inlineStr">
        <is>
          <t>Вн-13</t>
        </is>
      </c>
      <c r="D19" s="3" t="inlineStr">
        <is>
          <t>3200×4820</t>
        </is>
      </c>
      <c r="E19" s="3" t="n">
        <v>70</v>
      </c>
      <c r="F19" s="3" t="n">
        <v>1</v>
      </c>
      <c r="G19" s="5">
        <f>3.2*4.82*1</f>
        <v/>
      </c>
      <c r="H19" s="3" t="n">
        <v>1</v>
      </c>
      <c r="I19" s="5" t="n">
        <v>14.74</v>
      </c>
      <c r="J19" s="3">
        <f>MIN(F19,N(H19))</f>
        <v/>
      </c>
      <c r="K19" s="5">
        <f>ROUND(G19/F19*J19,2)</f>
        <v/>
      </c>
      <c r="L19" s="3">
        <f>F19-J19</f>
        <v/>
      </c>
      <c r="M19" s="3">
        <f>N(H19)-J19</f>
        <v/>
      </c>
      <c r="N19" s="6" t="inlineStr">
        <is>
          <t>кол-во совпадает</t>
        </is>
      </c>
    </row>
    <row r="20">
      <c r="A20" s="12" t="n">
        <v>17</v>
      </c>
      <c r="B20" s="12" t="inlineStr">
        <is>
          <t>В</t>
        </is>
      </c>
      <c r="C20" s="12" t="inlineStr">
        <is>
          <t>Вн-16</t>
        </is>
      </c>
      <c r="D20" s="12" t="inlineStr">
        <is>
          <t>1200×4820</t>
        </is>
      </c>
      <c r="E20" s="12" t="n">
        <v>68</v>
      </c>
      <c r="F20" s="12" t="n">
        <v>1</v>
      </c>
      <c r="G20" s="13">
        <f>1.2*4.82*1</f>
        <v/>
      </c>
      <c r="H20" s="12" t="n">
        <v>3</v>
      </c>
      <c r="I20" s="13" t="n">
        <v>18.57</v>
      </c>
      <c r="J20" s="12">
        <f>MIN(F20,N(H20))</f>
        <v/>
      </c>
      <c r="K20" s="13">
        <f>ROUND(G20/F20*J20,2)</f>
        <v/>
      </c>
      <c r="L20" s="12">
        <f>F20-J20</f>
        <v/>
      </c>
      <c r="M20" s="12">
        <f>N(H20)-J20</f>
        <v/>
      </c>
      <c r="N20" s="14" t="inlineStr">
        <is>
          <t>по чертежу и КП 3 шт., в ВДЦ 1; размер по КП 1060×5180, 1240×4800, 1370×5200 — отличается от ВДЦ более чем на 5%</t>
        </is>
      </c>
    </row>
    <row r="21">
      <c r="A21" s="12" t="n">
        <v>18</v>
      </c>
      <c r="B21" s="12" t="inlineStr">
        <is>
          <t>В</t>
        </is>
      </c>
      <c r="C21" s="12" t="inlineStr">
        <is>
          <t>Вн-17</t>
        </is>
      </c>
      <c r="D21" s="12" t="n"/>
      <c r="E21" s="12" t="n"/>
      <c r="F21" s="12" t="n"/>
      <c r="G21" s="13" t="n"/>
      <c r="H21" s="12" t="n">
        <v>1</v>
      </c>
      <c r="I21" s="13" t="n">
        <v>19.68</v>
      </c>
      <c r="J21" s="12" t="n">
        <v>0</v>
      </c>
      <c r="K21" s="13" t="n">
        <v>0</v>
      </c>
      <c r="L21" s="12" t="n">
        <v>0</v>
      </c>
      <c r="M21" s="12">
        <f>N(H21)</f>
        <v/>
      </c>
      <c r="N21" s="14" t="inlineStr">
        <is>
          <t>в ВДЦ лит. В нет</t>
        </is>
      </c>
    </row>
    <row r="22">
      <c r="A22" s="3" t="n">
        <v>19</v>
      </c>
      <c r="B22" s="3" t="inlineStr">
        <is>
          <t>В</t>
        </is>
      </c>
      <c r="C22" s="3" t="inlineStr">
        <is>
          <t>Вн-19</t>
        </is>
      </c>
      <c r="D22" s="3" t="inlineStr">
        <is>
          <t>3000×4820</t>
        </is>
      </c>
      <c r="E22" s="3" t="n">
        <v>72</v>
      </c>
      <c r="F22" s="3" t="n">
        <v>2</v>
      </c>
      <c r="G22" s="5">
        <f>3*4.82*2</f>
        <v/>
      </c>
      <c r="H22" s="3" t="n">
        <v>2</v>
      </c>
      <c r="I22" s="5" t="n">
        <v>24.67</v>
      </c>
      <c r="J22" s="3">
        <f>MIN(F22,N(H22))</f>
        <v/>
      </c>
      <c r="K22" s="5">
        <f>ROUND(G22/F22*J22,2)</f>
        <v/>
      </c>
      <c r="L22" s="3">
        <f>F22-J22</f>
        <v/>
      </c>
      <c r="M22" s="3">
        <f>N(H22)-J22</f>
        <v/>
      </c>
      <c r="N22" s="6" t="inlineStr">
        <is>
          <t>кол-во совпадает; размер по КП 2570×4800 — отличается от ВДЦ более чем на 5%</t>
        </is>
      </c>
    </row>
    <row r="23">
      <c r="A23" s="12" t="n">
        <v>20</v>
      </c>
      <c r="B23" s="12" t="inlineStr">
        <is>
          <t>В</t>
        </is>
      </c>
      <c r="C23" s="12" t="inlineStr">
        <is>
          <t>Вн-22</t>
        </is>
      </c>
      <c r="D23" s="12" t="inlineStr">
        <is>
          <t>2150×2720</t>
        </is>
      </c>
      <c r="E23" s="12" t="n">
        <v>74</v>
      </c>
      <c r="F23" s="12" t="n">
        <v>4</v>
      </c>
      <c r="G23" s="13">
        <f>2.15*2.72*4</f>
        <v/>
      </c>
      <c r="H23" s="12" t="n">
        <v>1</v>
      </c>
      <c r="I23" s="13" t="n">
        <v>5.71</v>
      </c>
      <c r="J23" s="12">
        <f>MIN(F23,N(H23))</f>
        <v/>
      </c>
      <c r="K23" s="13">
        <f>ROUND(G23/F23*J23,2)</f>
        <v/>
      </c>
      <c r="L23" s="12">
        <f>F23-J23</f>
        <v/>
      </c>
      <c r="M23" s="12">
        <f>N(H23)-J23</f>
        <v/>
      </c>
      <c r="N23" s="14" t="inlineStr">
        <is>
          <t>в ВДЦ 4, в спецификации 1</t>
        </is>
      </c>
    </row>
    <row r="24">
      <c r="A24" s="12" t="n">
        <v>21</v>
      </c>
      <c r="B24" s="12" t="inlineStr">
        <is>
          <t>Г</t>
        </is>
      </c>
      <c r="C24" s="12" t="inlineStr">
        <is>
          <t>Вн-6</t>
        </is>
      </c>
      <c r="D24" s="12" t="inlineStr">
        <is>
          <t>4200×4820</t>
        </is>
      </c>
      <c r="E24" s="12" t="n">
        <v>88</v>
      </c>
      <c r="F24" s="12" t="n">
        <v>1</v>
      </c>
      <c r="G24" s="13">
        <f>4.2*4.82*1</f>
        <v/>
      </c>
      <c r="H24" s="12" t="n">
        <v>3</v>
      </c>
      <c r="I24" s="13" t="n">
        <v>61.63</v>
      </c>
      <c r="J24" s="12">
        <f>MIN(F24,N(H24))</f>
        <v/>
      </c>
      <c r="K24" s="13">
        <f>ROUND(G24/F24*J24,2)</f>
        <v/>
      </c>
      <c r="L24" s="12">
        <f>F24-J24</f>
        <v/>
      </c>
      <c r="M24" s="12">
        <f>N(H24)-J24</f>
        <v/>
      </c>
      <c r="N24" s="14" t="inlineStr">
        <is>
          <t>2 шт. перенесены из КП лит. А и Б; в ВДЦ лит. Г — 1 шт., зато в ВДЦ А и Б по 4 шт. (не закрыто по 1)</t>
        </is>
      </c>
    </row>
    <row r="25">
      <c r="A25" s="3" t="n">
        <v>22</v>
      </c>
      <c r="B25" s="3" t="inlineStr">
        <is>
          <t>Г</t>
        </is>
      </c>
      <c r="C25" s="3" t="inlineStr">
        <is>
          <t>Вн-10</t>
        </is>
      </c>
      <c r="D25" s="3" t="inlineStr">
        <is>
          <t>4160×4820</t>
        </is>
      </c>
      <c r="E25" s="3" t="n">
        <v>90</v>
      </c>
      <c r="F25" s="3" t="n">
        <v>1</v>
      </c>
      <c r="G25" s="5">
        <f>4.16*4.82*1</f>
        <v/>
      </c>
      <c r="H25" s="3" t="n">
        <v>1</v>
      </c>
      <c r="I25" s="5" t="n">
        <v>19.97</v>
      </c>
      <c r="J25" s="3">
        <f>MIN(F25,N(H25))</f>
        <v/>
      </c>
      <c r="K25" s="5">
        <f>ROUND(G25/F25*J25,2)</f>
        <v/>
      </c>
      <c r="L25" s="3">
        <f>F25-J25</f>
        <v/>
      </c>
      <c r="M25" s="3">
        <f>N(H25)-J25</f>
        <v/>
      </c>
      <c r="N25" s="6" t="inlineStr">
        <is>
          <t>кол-во совпадает</t>
        </is>
      </c>
    </row>
    <row r="26">
      <c r="A26" s="3" t="n">
        <v>23</v>
      </c>
      <c r="B26" s="3" t="inlineStr">
        <is>
          <t>Г</t>
        </is>
      </c>
      <c r="C26" s="3" t="inlineStr">
        <is>
          <t>Вн-11</t>
        </is>
      </c>
      <c r="D26" s="3" t="inlineStr">
        <is>
          <t>2450×4820</t>
        </is>
      </c>
      <c r="E26" s="3" t="n">
        <v>92</v>
      </c>
      <c r="F26" s="3" t="n">
        <v>1</v>
      </c>
      <c r="G26" s="5">
        <f>2.45*4.82</f>
        <v/>
      </c>
      <c r="H26" s="3" t="n">
        <v>1</v>
      </c>
      <c r="I26" s="5" t="n">
        <v>11.09</v>
      </c>
      <c r="J26" s="3">
        <f>MIN(F26,N(H26))</f>
        <v/>
      </c>
      <c r="K26" s="5">
        <f>ROUND(G26/F26*J26,2)</f>
        <v/>
      </c>
      <c r="L26" s="3">
        <f>F26-J26</f>
        <v/>
      </c>
      <c r="M26" s="3">
        <f>N(H26)-J26</f>
        <v/>
      </c>
      <c r="N26" s="6" t="inlineStr">
        <is>
          <t>кол-во совпадает; размер по КП 2310×4800 — отличается от ВДЦ более чем на 5%</t>
        </is>
      </c>
    </row>
    <row r="27">
      <c r="A27" s="3" t="n">
        <v>24</v>
      </c>
      <c r="B27" s="3" t="inlineStr">
        <is>
          <t>Г</t>
        </is>
      </c>
      <c r="C27" s="3" t="inlineStr">
        <is>
          <t>Вн-12</t>
        </is>
      </c>
      <c r="D27" s="3" t="inlineStr">
        <is>
          <t>3370×4820</t>
        </is>
      </c>
      <c r="E27" s="3" t="n">
        <v>94</v>
      </c>
      <c r="F27" s="3" t="n">
        <v>1</v>
      </c>
      <c r="G27" s="5">
        <f>3.37*4.82</f>
        <v/>
      </c>
      <c r="H27" s="3" t="n">
        <v>1</v>
      </c>
      <c r="I27" s="5" t="n">
        <v>15.6</v>
      </c>
      <c r="J27" s="3">
        <f>MIN(F27,N(H27))</f>
        <v/>
      </c>
      <c r="K27" s="5">
        <f>ROUND(G27/F27*J27,2)</f>
        <v/>
      </c>
      <c r="L27" s="3">
        <f>F27-J27</f>
        <v/>
      </c>
      <c r="M27" s="3">
        <f>N(H27)-J27</f>
        <v/>
      </c>
      <c r="N27" s="6" t="inlineStr">
        <is>
          <t>кол-во совпадает</t>
        </is>
      </c>
    </row>
    <row r="28">
      <c r="A28" s="3" t="n">
        <v>25</v>
      </c>
      <c r="B28" s="3" t="inlineStr">
        <is>
          <t>Г</t>
        </is>
      </c>
      <c r="C28" s="3" t="inlineStr">
        <is>
          <t>Вн-17</t>
        </is>
      </c>
      <c r="D28" s="3" t="inlineStr">
        <is>
          <t>4200×4820</t>
        </is>
      </c>
      <c r="E28" s="3" t="n">
        <v>96</v>
      </c>
      <c r="F28" s="3" t="n">
        <v>1</v>
      </c>
      <c r="G28" s="5">
        <f>4.2*4.82</f>
        <v/>
      </c>
      <c r="H28" s="3" t="n">
        <v>1</v>
      </c>
      <c r="I28" s="5" t="n">
        <v>19.82</v>
      </c>
      <c r="J28" s="3">
        <f>MIN(F28,N(H28))</f>
        <v/>
      </c>
      <c r="K28" s="5">
        <f>ROUND(G28/F28*J28,2)</f>
        <v/>
      </c>
      <c r="L28" s="3">
        <f>F28-J28</f>
        <v/>
      </c>
      <c r="M28" s="3">
        <f>N(H28)-J28</f>
        <v/>
      </c>
      <c r="N28" s="6" t="inlineStr">
        <is>
          <t>кол-во совпадает</t>
        </is>
      </c>
    </row>
    <row r="29">
      <c r="A29" s="3" t="n">
        <v>26</v>
      </c>
      <c r="B29" s="3" t="inlineStr">
        <is>
          <t>Г</t>
        </is>
      </c>
      <c r="C29" s="3" t="inlineStr">
        <is>
          <t>Вн-20</t>
        </is>
      </c>
      <c r="D29" s="3" t="inlineStr">
        <is>
          <t>3900×4820</t>
        </is>
      </c>
      <c r="E29" s="3" t="n">
        <v>98</v>
      </c>
      <c r="F29" s="3" t="n">
        <v>1</v>
      </c>
      <c r="G29" s="5">
        <f>3.9*4.82</f>
        <v/>
      </c>
      <c r="H29" s="3" t="n">
        <v>1</v>
      </c>
      <c r="I29" s="5" t="n">
        <v>18.43</v>
      </c>
      <c r="J29" s="3">
        <f>MIN(F29,N(H29))</f>
        <v/>
      </c>
      <c r="K29" s="5">
        <f>ROUND(G29/F29*J29,2)</f>
        <v/>
      </c>
      <c r="L29" s="3">
        <f>F29-J29</f>
        <v/>
      </c>
      <c r="M29" s="3">
        <f>N(H29)-J29</f>
        <v/>
      </c>
      <c r="N29" s="6" t="inlineStr">
        <is>
          <t>кол-во совпадает</t>
        </is>
      </c>
    </row>
    <row r="30">
      <c r="A30" s="3" t="n">
        <v>27</v>
      </c>
      <c r="B30" s="3" t="inlineStr">
        <is>
          <t>Г</t>
        </is>
      </c>
      <c r="C30" s="3" t="inlineStr">
        <is>
          <t>Вн-21</t>
        </is>
      </c>
      <c r="D30" s="3" t="inlineStr">
        <is>
          <t>2920×4820</t>
        </is>
      </c>
      <c r="E30" s="3" t="n">
        <v>100</v>
      </c>
      <c r="F30" s="3" t="n">
        <v>1</v>
      </c>
      <c r="G30" s="5">
        <f>2.92*4.82</f>
        <v/>
      </c>
      <c r="H30" s="3" t="n">
        <v>1</v>
      </c>
      <c r="I30" s="5" t="n">
        <v>14.02</v>
      </c>
      <c r="J30" s="3">
        <f>MIN(F30,N(H30))</f>
        <v/>
      </c>
      <c r="K30" s="5">
        <f>ROUND(G30/F30*J30,2)</f>
        <v/>
      </c>
      <c r="L30" s="3">
        <f>F30-J30</f>
        <v/>
      </c>
      <c r="M30" s="3">
        <f>N(H30)-J30</f>
        <v/>
      </c>
      <c r="N30" s="6" t="inlineStr">
        <is>
          <t>кол-во совпадает</t>
        </is>
      </c>
    </row>
    <row r="31">
      <c r="A31" s="12" t="n">
        <v>28</v>
      </c>
      <c r="B31" s="12" t="inlineStr">
        <is>
          <t>Г</t>
        </is>
      </c>
      <c r="C31" s="12" t="inlineStr">
        <is>
          <t>Вн-22</t>
        </is>
      </c>
      <c r="D31" s="12" t="inlineStr">
        <is>
          <t>2150×2720</t>
        </is>
      </c>
      <c r="E31" s="12" t="n">
        <v>102</v>
      </c>
      <c r="F31" s="12" t="n">
        <v>4</v>
      </c>
      <c r="G31" s="13">
        <f>2.15*2.72*4</f>
        <v/>
      </c>
      <c r="H31" s="12" t="n"/>
      <c r="I31" s="13" t="n"/>
      <c r="J31" s="12">
        <f>MIN(F31,N(H31))</f>
        <v/>
      </c>
      <c r="K31" s="13">
        <f>ROUND(G31/F31*J31,2)</f>
        <v/>
      </c>
      <c r="L31" s="12">
        <f>F31-J31</f>
        <v/>
      </c>
      <c r="M31" s="12">
        <f>N(H31)-J31</f>
        <v/>
      </c>
      <c r="N31" s="14" t="inlineStr">
        <is>
          <t>нет в спецификации (нет в КП)</t>
        </is>
      </c>
    </row>
    <row r="32">
      <c r="A32" s="3" t="n">
        <v>29</v>
      </c>
      <c r="B32" s="3" t="inlineStr">
        <is>
          <t>Д</t>
        </is>
      </c>
      <c r="C32" s="3" t="inlineStr">
        <is>
          <t>Вн-6</t>
        </is>
      </c>
      <c r="D32" s="3" t="inlineStr">
        <is>
          <t>4200×4820</t>
        </is>
      </c>
      <c r="E32" s="3" t="n">
        <v>116</v>
      </c>
      <c r="F32" s="3" t="n">
        <v>2</v>
      </c>
      <c r="G32" s="5">
        <f>4.2*4.82*2</f>
        <v/>
      </c>
      <c r="H32" s="3" t="n">
        <v>2</v>
      </c>
      <c r="I32" s="5" t="n">
        <v>39.98</v>
      </c>
      <c r="J32" s="3">
        <f>MIN(F32,N(H32))</f>
        <v/>
      </c>
      <c r="K32" s="5">
        <f>ROUND(G32/F32*J32,2)</f>
        <v/>
      </c>
      <c r="L32" s="3">
        <f>F32-J32</f>
        <v/>
      </c>
      <c r="M32" s="3">
        <f>N(H32)-J32</f>
        <v/>
      </c>
      <c r="N32" s="6" t="inlineStr">
        <is>
          <t>кол-во совпадает</t>
        </is>
      </c>
    </row>
    <row r="33">
      <c r="A33" s="3" t="n">
        <v>30</v>
      </c>
      <c r="B33" s="3" t="inlineStr">
        <is>
          <t>Д</t>
        </is>
      </c>
      <c r="C33" s="3" t="inlineStr">
        <is>
          <t>Вн-7</t>
        </is>
      </c>
      <c r="D33" s="3" t="inlineStr">
        <is>
          <t>3020×4820</t>
        </is>
      </c>
      <c r="E33" s="3" t="n">
        <v>118</v>
      </c>
      <c r="F33" s="3" t="n">
        <v>1</v>
      </c>
      <c r="G33" s="5">
        <f>3.02*4.82*1</f>
        <v/>
      </c>
      <c r="H33" s="3" t="n">
        <v>1</v>
      </c>
      <c r="I33" s="5" t="n">
        <v>19.97</v>
      </c>
      <c r="J33" s="3">
        <f>MIN(F33,N(H33))</f>
        <v/>
      </c>
      <c r="K33" s="5">
        <f>ROUND(G33/F33*J33,2)</f>
        <v/>
      </c>
      <c r="L33" s="3">
        <f>F33-J33</f>
        <v/>
      </c>
      <c r="M33" s="3">
        <f>N(H33)-J33</f>
        <v/>
      </c>
      <c r="N33" s="6" t="inlineStr">
        <is>
          <t>кол-во совпадает; размер по КП 4160×4800 — отличается от ВДЦ более чем на 5%</t>
        </is>
      </c>
    </row>
    <row r="34">
      <c r="A34" s="3" t="n">
        <v>31</v>
      </c>
      <c r="B34" s="3" t="inlineStr">
        <is>
          <t>Д</t>
        </is>
      </c>
      <c r="C34" s="3" t="inlineStr">
        <is>
          <t>Вн-9</t>
        </is>
      </c>
      <c r="D34" s="3" t="inlineStr">
        <is>
          <t>3870×4820</t>
        </is>
      </c>
      <c r="E34" s="3" t="n">
        <v>120</v>
      </c>
      <c r="F34" s="3" t="n">
        <v>1</v>
      </c>
      <c r="G34" s="5">
        <f>3.87*4.82</f>
        <v/>
      </c>
      <c r="H34" s="3" t="n">
        <v>1</v>
      </c>
      <c r="I34" s="5" t="n">
        <v>19.68</v>
      </c>
      <c r="J34" s="3">
        <f>MIN(F34,N(H34))</f>
        <v/>
      </c>
      <c r="K34" s="5">
        <f>ROUND(G34/F34*J34,2)</f>
        <v/>
      </c>
      <c r="L34" s="3">
        <f>F34-J34</f>
        <v/>
      </c>
      <c r="M34" s="3">
        <f>N(H34)-J34</f>
        <v/>
      </c>
      <c r="N34" s="6" t="inlineStr">
        <is>
          <t>кол-во совпадает; размер по КП 4100×4800 — отличается от ВДЦ более чем на 5%</t>
        </is>
      </c>
    </row>
    <row r="35">
      <c r="A35" s="3" t="n">
        <v>32</v>
      </c>
      <c r="B35" s="3" t="inlineStr">
        <is>
          <t>Д</t>
        </is>
      </c>
      <c r="C35" s="3" t="inlineStr">
        <is>
          <t>Вн-17</t>
        </is>
      </c>
      <c r="D35" s="3" t="inlineStr">
        <is>
          <t>4200×4820</t>
        </is>
      </c>
      <c r="E35" s="3" t="n">
        <v>122</v>
      </c>
      <c r="F35" s="3" t="n">
        <v>1</v>
      </c>
      <c r="G35" s="5">
        <f>4.2*4.82</f>
        <v/>
      </c>
      <c r="H35" s="3" t="n">
        <v>1</v>
      </c>
      <c r="I35" s="5" t="n">
        <v>18.14</v>
      </c>
      <c r="J35" s="3">
        <f>MIN(F35,N(H35))</f>
        <v/>
      </c>
      <c r="K35" s="5">
        <f>ROUND(G35/F35*J35,2)</f>
        <v/>
      </c>
      <c r="L35" s="3">
        <f>F35-J35</f>
        <v/>
      </c>
      <c r="M35" s="3">
        <f>N(H35)-J35</f>
        <v/>
      </c>
      <c r="N35" s="6" t="inlineStr">
        <is>
          <t>кол-во совпадает; размер по КП 3780×4800 — отличается от ВДЦ более чем на 5%</t>
        </is>
      </c>
    </row>
    <row r="36">
      <c r="A36" s="12" t="n">
        <v>33</v>
      </c>
      <c r="B36" s="12" t="inlineStr">
        <is>
          <t>Ж</t>
        </is>
      </c>
      <c r="C36" s="12" t="inlineStr">
        <is>
          <t>Вн-1</t>
        </is>
      </c>
      <c r="D36" s="12" t="inlineStr">
        <is>
          <t>4750×3870</t>
        </is>
      </c>
      <c r="E36" s="12" t="n">
        <v>136</v>
      </c>
      <c r="F36" s="12" t="n">
        <v>1</v>
      </c>
      <c r="G36" s="13">
        <f>4.75*3.87</f>
        <v/>
      </c>
      <c r="H36" s="12" t="n"/>
      <c r="I36" s="13" t="n"/>
      <c r="J36" s="12">
        <f>MIN(F36,N(H36))</f>
        <v/>
      </c>
      <c r="K36" s="13">
        <f>ROUND(G36/F36*J36,2)</f>
        <v/>
      </c>
      <c r="L36" s="12">
        <f>F36-J36</f>
        <v/>
      </c>
      <c r="M36" s="12">
        <f>N(H36)-J36</f>
        <v/>
      </c>
      <c r="N36" s="14" t="inlineStr">
        <is>
          <t>нет в спецификации (нет в КП)</t>
        </is>
      </c>
    </row>
    <row r="37">
      <c r="A37" s="12" t="n">
        <v>34</v>
      </c>
      <c r="B37" s="12" t="inlineStr">
        <is>
          <t>Ж</t>
        </is>
      </c>
      <c r="C37" s="12" t="inlineStr">
        <is>
          <t>Вн-2</t>
        </is>
      </c>
      <c r="D37" s="12" t="inlineStr">
        <is>
          <t>4750×3870</t>
        </is>
      </c>
      <c r="E37" s="12" t="n">
        <v>138</v>
      </c>
      <c r="F37" s="12" t="n">
        <v>1</v>
      </c>
      <c r="G37" s="13">
        <f>4.75*3.87</f>
        <v/>
      </c>
      <c r="H37" s="12" t="n"/>
      <c r="I37" s="13" t="n"/>
      <c r="J37" s="12">
        <f>MIN(F37,N(H37))</f>
        <v/>
      </c>
      <c r="K37" s="13">
        <f>ROUND(G37/F37*J37,2)</f>
        <v/>
      </c>
      <c r="L37" s="12">
        <f>F37-J37</f>
        <v/>
      </c>
      <c r="M37" s="12">
        <f>N(H37)-J37</f>
        <v/>
      </c>
      <c r="N37" s="14" t="inlineStr">
        <is>
          <t>нет в спецификации (нет в КП)</t>
        </is>
      </c>
    </row>
    <row r="38">
      <c r="A38" s="12" t="n">
        <v>35</v>
      </c>
      <c r="B38" s="12" t="inlineStr">
        <is>
          <t>Ж</t>
        </is>
      </c>
      <c r="C38" s="12" t="inlineStr">
        <is>
          <t>Вн-3</t>
        </is>
      </c>
      <c r="D38" s="12" t="inlineStr">
        <is>
          <t>6100×3870</t>
        </is>
      </c>
      <c r="E38" s="12" t="n">
        <v>140</v>
      </c>
      <c r="F38" s="12" t="n">
        <v>1</v>
      </c>
      <c r="G38" s="13">
        <f>6.1*3.87</f>
        <v/>
      </c>
      <c r="H38" s="12" t="n"/>
      <c r="I38" s="13" t="n"/>
      <c r="J38" s="12">
        <f>MIN(F38,N(H38))</f>
        <v/>
      </c>
      <c r="K38" s="13">
        <f>ROUND(G38/F38*J38,2)</f>
        <v/>
      </c>
      <c r="L38" s="12">
        <f>F38-J38</f>
        <v/>
      </c>
      <c r="M38" s="12">
        <f>N(H38)-J38</f>
        <v/>
      </c>
      <c r="N38" s="14" t="inlineStr">
        <is>
          <t>нет в спецификации (нет в КП)</t>
        </is>
      </c>
    </row>
    <row r="39">
      <c r="A39" s="12" t="n">
        <v>36</v>
      </c>
      <c r="B39" s="12" t="inlineStr">
        <is>
          <t>Ж</t>
        </is>
      </c>
      <c r="C39" s="12" t="inlineStr">
        <is>
          <t>Вн-4</t>
        </is>
      </c>
      <c r="D39" s="12" t="inlineStr">
        <is>
          <t>5400×3470</t>
        </is>
      </c>
      <c r="E39" s="12" t="n">
        <v>142</v>
      </c>
      <c r="F39" s="12" t="n">
        <v>1</v>
      </c>
      <c r="G39" s="13">
        <f>5.4*3.47*1</f>
        <v/>
      </c>
      <c r="H39" s="12" t="n"/>
      <c r="I39" s="13" t="n"/>
      <c r="J39" s="12">
        <f>MIN(F39,N(H39))</f>
        <v/>
      </c>
      <c r="K39" s="13">
        <f>ROUND(G39/F39*J39,2)</f>
        <v/>
      </c>
      <c r="L39" s="12">
        <f>F39-J39</f>
        <v/>
      </c>
      <c r="M39" s="12">
        <f>N(H39)-J39</f>
        <v/>
      </c>
      <c r="N39" s="14" t="inlineStr">
        <is>
          <t>нет в спецификации (нет в КП)</t>
        </is>
      </c>
    </row>
    <row r="40">
      <c r="A40" s="12" t="n">
        <v>37</v>
      </c>
      <c r="B40" s="12" t="inlineStr">
        <is>
          <t>Ж</t>
        </is>
      </c>
      <c r="C40" s="12" t="inlineStr">
        <is>
          <t>Вн-5</t>
        </is>
      </c>
      <c r="D40" s="12" t="inlineStr">
        <is>
          <t>7800×3470</t>
        </is>
      </c>
      <c r="E40" s="12" t="n">
        <v>144</v>
      </c>
      <c r="F40" s="12" t="n">
        <v>1</v>
      </c>
      <c r="G40" s="13">
        <f>7.8*3.4</f>
        <v/>
      </c>
      <c r="H40" s="12" t="n"/>
      <c r="I40" s="13" t="n"/>
      <c r="J40" s="12">
        <f>MIN(F40,N(H40))</f>
        <v/>
      </c>
      <c r="K40" s="13">
        <f>ROUND(G40/F40*J40,2)</f>
        <v/>
      </c>
      <c r="L40" s="12">
        <f>F40-J40</f>
        <v/>
      </c>
      <c r="M40" s="12">
        <f>N(H40)-J40</f>
        <v/>
      </c>
      <c r="N40" s="14" t="inlineStr">
        <is>
          <t>в ВДЦ площадь =7.8*3.4 (26,52), а в названии 7800х3470 (27,07)</t>
        </is>
      </c>
    </row>
    <row r="41">
      <c r="A41" s="7" t="n"/>
      <c r="B41" s="7" t="n"/>
      <c r="C41" s="8" t="inlineStr">
        <is>
          <t>ИТОГО</t>
        </is>
      </c>
      <c r="D41" s="7" t="n"/>
      <c r="E41" s="7" t="n"/>
      <c r="F41" s="8">
        <f>SUM(F4:F40)</f>
        <v/>
      </c>
      <c r="G41" s="10">
        <f>SUM(G4:G40)</f>
        <v/>
      </c>
      <c r="H41" s="8">
        <f>SUM(H4:H40)</f>
        <v/>
      </c>
      <c r="I41" s="10">
        <f>SUM(I4:I40)</f>
        <v/>
      </c>
      <c r="J41" s="8">
        <f>SUM(J4:J40)</f>
        <v/>
      </c>
      <c r="K41" s="10">
        <f>SUM(K4:K40)</f>
        <v/>
      </c>
      <c r="L41" s="8">
        <f>SUM(L4:L40)</f>
        <v/>
      </c>
      <c r="M41" s="8">
        <f>SUM(M4:M40)</f>
        <v/>
      </c>
      <c r="N41" s="11" t="n"/>
    </row>
    <row r="43" ht="30" customHeight="1">
      <c r="B43" s="15" t="inlineStr">
        <is>
          <t>Вариант: 2 шт. Вн-6 лит. Г закрыть по строкам ВДЦ лит. А и Б (там не закрыто по 1 шт.) — дополнительно, м²:</t>
        </is>
      </c>
      <c r="K43" s="16">
        <f>ROUND(4.2*4.82*2,2)</f>
        <v/>
      </c>
    </row>
    <row r="44">
      <c r="B44" s="17" t="inlineStr">
        <is>
          <t>Итого к закрытию с этим вариантом, м²:</t>
        </is>
      </c>
      <c r="K44" s="16">
        <f>K41+K43</f>
        <v/>
      </c>
    </row>
  </sheetData>
  <mergeCells count="2">
    <mergeCell ref="B43:J43"/>
    <mergeCell ref="B44:J44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5" customWidth="1" min="1" max="1"/>
    <col width="21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48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Кол-во, шт</t>
        </is>
      </c>
      <c r="G3" s="2" t="inlineStr">
        <is>
          <t>Площадь по КП, м²</t>
        </is>
      </c>
      <c r="H3" s="2" t="inlineStr">
        <is>
          <t>Отметка</t>
        </is>
      </c>
    </row>
    <row r="4">
      <c r="A4" s="3" t="n"/>
      <c r="B4" s="18" t="inlineStr">
        <is>
          <t>Литер А</t>
        </is>
      </c>
      <c r="C4" s="19" t="n"/>
      <c r="D4" s="19" t="n"/>
      <c r="E4" s="20" t="n"/>
      <c r="F4" s="19" t="n"/>
      <c r="G4" s="21" t="n"/>
      <c r="H4" s="19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ROUND(G5/F5,2)</f>
        <v/>
      </c>
      <c r="F5" s="3" t="n">
        <v>3</v>
      </c>
      <c r="G5" s="5" t="n">
        <v>59.76</v>
      </c>
      <c r="H5" s="3" t="inlineStr">
        <is>
          <t>-6.000</t>
        </is>
      </c>
    </row>
    <row r="6">
      <c r="A6" s="3" t="n">
        <v>2</v>
      </c>
      <c r="B6" s="3" t="inlineStr">
        <is>
          <t>Вн-8</t>
        </is>
      </c>
      <c r="C6" s="3" t="n">
        <v>2600</v>
      </c>
      <c r="D6" s="3" t="n">
        <v>4820</v>
      </c>
      <c r="E6" s="4">
        <f>ROUND(G6/F6,2)</f>
        <v/>
      </c>
      <c r="F6" s="3" t="n">
        <v>1</v>
      </c>
      <c r="G6" s="5" t="n">
        <v>12.34</v>
      </c>
      <c r="H6" s="3" t="inlineStr">
        <is>
          <t>-6.000</t>
        </is>
      </c>
    </row>
    <row r="7">
      <c r="A7" s="3" t="n">
        <v>3</v>
      </c>
      <c r="B7" s="3" t="inlineStr">
        <is>
          <t>Вн-14</t>
        </is>
      </c>
      <c r="C7" s="3" t="n">
        <v>2485</v>
      </c>
      <c r="D7" s="3" t="n">
        <v>4820</v>
      </c>
      <c r="E7" s="4">
        <f>ROUND(G7/F7,2)</f>
        <v/>
      </c>
      <c r="F7" s="3" t="n">
        <v>1</v>
      </c>
      <c r="G7" s="5" t="n">
        <v>11.14</v>
      </c>
      <c r="H7" s="3" t="inlineStr">
        <is>
          <t>-6.000</t>
        </is>
      </c>
    </row>
    <row r="8">
      <c r="A8" s="3" t="n">
        <v>4</v>
      </c>
      <c r="B8" s="3" t="inlineStr">
        <is>
          <t>Вн-15</t>
        </is>
      </c>
      <c r="C8" s="3" t="n">
        <v>1400</v>
      </c>
      <c r="D8" s="3" t="n">
        <v>4820</v>
      </c>
      <c r="E8" s="4">
        <f>ROUND(G8/F8,2)</f>
        <v/>
      </c>
      <c r="F8" s="3" t="n">
        <v>1</v>
      </c>
      <c r="G8" s="5" t="n">
        <v>5.62</v>
      </c>
      <c r="H8" s="3" t="inlineStr">
        <is>
          <t>-6.000</t>
        </is>
      </c>
    </row>
    <row r="9">
      <c r="A9" s="3" t="n">
        <v>5</v>
      </c>
      <c r="B9" s="3" t="inlineStr">
        <is>
          <t>Вн-22</t>
        </is>
      </c>
      <c r="C9" s="3" t="n">
        <v>2150</v>
      </c>
      <c r="D9" s="3" t="n">
        <v>2720</v>
      </c>
      <c r="E9" s="4">
        <f>ROUND(G9/F9,2)</f>
        <v/>
      </c>
      <c r="F9" s="3" t="n">
        <v>5</v>
      </c>
      <c r="G9" s="5" t="n">
        <v>28.57</v>
      </c>
      <c r="H9" s="3" t="inlineStr">
        <is>
          <t>0.000</t>
        </is>
      </c>
    </row>
    <row r="10">
      <c r="A10" s="7" t="n"/>
      <c r="B10" s="8" t="inlineStr">
        <is>
          <t>Итого литер А</t>
        </is>
      </c>
      <c r="C10" s="7" t="n"/>
      <c r="D10" s="7" t="n"/>
      <c r="E10" s="9" t="n"/>
      <c r="F10" s="8">
        <f>SUM(F5:F9)</f>
        <v/>
      </c>
      <c r="G10" s="10">
        <f>SUM(G5:G9)</f>
        <v/>
      </c>
      <c r="H10" s="7" t="n"/>
    </row>
    <row r="11">
      <c r="A11" s="3" t="n"/>
      <c r="B11" s="18" t="inlineStr">
        <is>
          <t>Литер Б</t>
        </is>
      </c>
      <c r="C11" s="19" t="n"/>
      <c r="D11" s="19" t="n"/>
      <c r="E11" s="20" t="n"/>
      <c r="F11" s="19" t="n"/>
      <c r="G11" s="21" t="n"/>
      <c r="H11" s="19" t="n"/>
    </row>
    <row r="12">
      <c r="A12" s="3" t="n">
        <v>6</v>
      </c>
      <c r="B12" s="3" t="inlineStr">
        <is>
          <t>Вн-6</t>
        </is>
      </c>
      <c r="C12" s="3" t="n">
        <v>4200</v>
      </c>
      <c r="D12" s="3" t="n">
        <v>4820</v>
      </c>
      <c r="E12" s="4">
        <f>ROUND(G12/F12,2)</f>
        <v/>
      </c>
      <c r="F12" s="3" t="n">
        <v>3</v>
      </c>
      <c r="G12" s="5" t="n">
        <v>58.46</v>
      </c>
      <c r="H12" s="3" t="inlineStr">
        <is>
          <t>-6.000</t>
        </is>
      </c>
    </row>
    <row r="13">
      <c r="A13" s="3" t="n">
        <v>7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ROUND(G13/F13,2)</f>
        <v/>
      </c>
      <c r="F13" s="3" t="n">
        <v>1</v>
      </c>
      <c r="G13" s="5" t="n">
        <v>6</v>
      </c>
      <c r="H13" s="3" t="inlineStr">
        <is>
          <t>-6.000</t>
        </is>
      </c>
    </row>
    <row r="14">
      <c r="A14" s="3" t="n">
        <v>8</v>
      </c>
      <c r="B14" s="3" t="inlineStr">
        <is>
          <t>Вн-17</t>
        </is>
      </c>
      <c r="C14" s="3" t="n">
        <v>4200</v>
      </c>
      <c r="D14" s="3" t="n">
        <v>4820</v>
      </c>
      <c r="E14" s="4">
        <f>ROUND(G14/F14,2)</f>
        <v/>
      </c>
      <c r="F14" s="3" t="n">
        <v>1</v>
      </c>
      <c r="G14" s="5" t="n">
        <v>19.49</v>
      </c>
      <c r="H14" s="3" t="inlineStr">
        <is>
          <t>-6.000</t>
        </is>
      </c>
    </row>
    <row r="15">
      <c r="A15" s="3" t="n">
        <v>9</v>
      </c>
      <c r="B15" s="3" t="inlineStr">
        <is>
          <t>Вн-18</t>
        </is>
      </c>
      <c r="C15" s="3" t="n">
        <v>2600</v>
      </c>
      <c r="D15" s="3" t="n">
        <v>4820</v>
      </c>
      <c r="E15" s="4">
        <f>ROUND(G15/F15,2)</f>
        <v/>
      </c>
      <c r="F15" s="3" t="n">
        <v>1</v>
      </c>
      <c r="G15" s="5" t="n">
        <v>11.9</v>
      </c>
      <c r="H15" s="3" t="inlineStr">
        <is>
          <t>-6.000</t>
        </is>
      </c>
    </row>
    <row r="16">
      <c r="A16" s="3" t="n">
        <v>10</v>
      </c>
      <c r="B16" s="3" t="inlineStr">
        <is>
          <t>Вн-22</t>
        </is>
      </c>
      <c r="C16" s="3" t="n">
        <v>2150</v>
      </c>
      <c r="D16" s="3" t="n">
        <v>2720</v>
      </c>
      <c r="E16" s="4">
        <f>ROUND(G16/F16,2)</f>
        <v/>
      </c>
      <c r="F16" s="3" t="n">
        <v>5</v>
      </c>
      <c r="G16" s="5" t="n">
        <v>28.57</v>
      </c>
      <c r="H16" s="3" t="inlineStr">
        <is>
          <t>0.000</t>
        </is>
      </c>
    </row>
    <row r="17">
      <c r="A17" s="7" t="n"/>
      <c r="B17" s="8" t="inlineStr">
        <is>
          <t>Итого литер Б</t>
        </is>
      </c>
      <c r="C17" s="7" t="n"/>
      <c r="D17" s="7" t="n"/>
      <c r="E17" s="9" t="n"/>
      <c r="F17" s="8">
        <f>SUM(F12:F16)</f>
        <v/>
      </c>
      <c r="G17" s="10">
        <f>SUM(G12:G16)</f>
        <v/>
      </c>
      <c r="H17" s="7" t="n"/>
    </row>
    <row r="18">
      <c r="A18" s="3" t="n"/>
      <c r="B18" s="18" t="inlineStr">
        <is>
          <t>Литер В</t>
        </is>
      </c>
      <c r="C18" s="19" t="n"/>
      <c r="D18" s="19" t="n"/>
      <c r="E18" s="20" t="n"/>
      <c r="F18" s="19" t="n"/>
      <c r="G18" s="21" t="n"/>
      <c r="H18" s="19" t="n"/>
    </row>
    <row r="19">
      <c r="A19" s="3" t="n">
        <v>11</v>
      </c>
      <c r="B19" s="3" t="inlineStr">
        <is>
          <t>Вн-6</t>
        </is>
      </c>
      <c r="C19" s="3" t="n">
        <v>4200</v>
      </c>
      <c r="D19" s="3" t="n">
        <v>4820</v>
      </c>
      <c r="E19" s="4">
        <f>ROUND(G19/F19,2)</f>
        <v/>
      </c>
      <c r="F19" s="3" t="n">
        <v>1</v>
      </c>
      <c r="G19" s="5" t="n">
        <v>19.63</v>
      </c>
      <c r="H19" s="3" t="inlineStr">
        <is>
          <t>-6.000</t>
        </is>
      </c>
    </row>
    <row r="20">
      <c r="A20" s="3" t="n">
        <v>12</v>
      </c>
      <c r="B20" s="3" t="inlineStr">
        <is>
          <t>Вн-13</t>
        </is>
      </c>
      <c r="C20" s="3" t="n">
        <v>3200</v>
      </c>
      <c r="D20" s="3" t="n">
        <v>4820</v>
      </c>
      <c r="E20" s="4">
        <f>ROUND(G20/F20,2)</f>
        <v/>
      </c>
      <c r="F20" s="3" t="n">
        <v>1</v>
      </c>
      <c r="G20" s="5" t="n">
        <v>14.74</v>
      </c>
      <c r="H20" s="3" t="inlineStr">
        <is>
          <t>-6.000</t>
        </is>
      </c>
    </row>
    <row r="21">
      <c r="A21" s="3" t="n">
        <v>13</v>
      </c>
      <c r="B21" s="3" t="inlineStr">
        <is>
          <t>Вн-16</t>
        </is>
      </c>
      <c r="C21" s="3" t="n">
        <v>1200</v>
      </c>
      <c r="D21" s="3" t="n">
        <v>4820</v>
      </c>
      <c r="E21" s="4">
        <f>ROUND(G21/F21,2)</f>
        <v/>
      </c>
      <c r="F21" s="3" t="n">
        <v>3</v>
      </c>
      <c r="G21" s="5" t="n">
        <v>18.57</v>
      </c>
      <c r="H21" s="3" t="inlineStr">
        <is>
          <t>-6.000</t>
        </is>
      </c>
    </row>
    <row r="22">
      <c r="A22" s="3" t="n">
        <v>14</v>
      </c>
      <c r="B22" s="3" t="inlineStr">
        <is>
          <t>Вн-17</t>
        </is>
      </c>
      <c r="C22" s="3" t="n">
        <v>4200</v>
      </c>
      <c r="D22" s="3" t="n">
        <v>4820</v>
      </c>
      <c r="E22" s="4">
        <f>ROUND(G22/F22,2)</f>
        <v/>
      </c>
      <c r="F22" s="3" t="n">
        <v>1</v>
      </c>
      <c r="G22" s="5" t="n">
        <v>19.68</v>
      </c>
      <c r="H22" s="3" t="inlineStr">
        <is>
          <t>-6.000</t>
        </is>
      </c>
    </row>
    <row r="23">
      <c r="A23" s="3" t="n">
        <v>15</v>
      </c>
      <c r="B23" s="3" t="inlineStr">
        <is>
          <t>Вн-19</t>
        </is>
      </c>
      <c r="C23" s="3" t="n">
        <v>3000</v>
      </c>
      <c r="D23" s="3" t="n">
        <v>4820</v>
      </c>
      <c r="E23" s="4">
        <f>ROUND(G23/F23,2)</f>
        <v/>
      </c>
      <c r="F23" s="3" t="n">
        <v>2</v>
      </c>
      <c r="G23" s="5" t="n">
        <v>24.67</v>
      </c>
      <c r="H23" s="3" t="inlineStr">
        <is>
          <t>-6.000</t>
        </is>
      </c>
    </row>
    <row r="24">
      <c r="A24" s="3" t="n">
        <v>16</v>
      </c>
      <c r="B24" s="3" t="inlineStr">
        <is>
          <t>Вн-22</t>
        </is>
      </c>
      <c r="C24" s="3" t="n">
        <v>2150</v>
      </c>
      <c r="D24" s="3" t="n">
        <v>2720</v>
      </c>
      <c r="E24" s="4">
        <f>ROUND(G24/F24,2)</f>
        <v/>
      </c>
      <c r="F24" s="3" t="n">
        <v>1</v>
      </c>
      <c r="G24" s="5" t="n">
        <v>5.71</v>
      </c>
      <c r="H24" s="3" t="inlineStr">
        <is>
          <t>0.000</t>
        </is>
      </c>
    </row>
    <row r="25">
      <c r="A25" s="7" t="n"/>
      <c r="B25" s="8" t="inlineStr">
        <is>
          <t>Итого литер В</t>
        </is>
      </c>
      <c r="C25" s="7" t="n"/>
      <c r="D25" s="7" t="n"/>
      <c r="E25" s="9" t="n"/>
      <c r="F25" s="8">
        <f>SUM(F19:F24)</f>
        <v/>
      </c>
      <c r="G25" s="10">
        <f>SUM(G19:G24)</f>
        <v/>
      </c>
      <c r="H25" s="7" t="n"/>
    </row>
    <row r="26">
      <c r="A26" s="3" t="n"/>
      <c r="B26" s="18" t="inlineStr">
        <is>
          <t>Литер Г</t>
        </is>
      </c>
      <c r="C26" s="19" t="n"/>
      <c r="D26" s="19" t="n"/>
      <c r="E26" s="20" t="n"/>
      <c r="F26" s="19" t="n"/>
      <c r="G26" s="21" t="n"/>
      <c r="H26" s="19" t="n"/>
    </row>
    <row r="27">
      <c r="A27" s="3" t="n">
        <v>17</v>
      </c>
      <c r="B27" s="3" t="inlineStr">
        <is>
          <t>Вн-6</t>
        </is>
      </c>
      <c r="C27" s="3" t="n">
        <v>4200</v>
      </c>
      <c r="D27" s="3" t="n">
        <v>4820</v>
      </c>
      <c r="E27" s="4">
        <f>ROUND(G27/F27,2)</f>
        <v/>
      </c>
      <c r="F27" s="3" t="n">
        <v>1</v>
      </c>
      <c r="G27" s="5" t="n">
        <v>20.45</v>
      </c>
      <c r="H27" s="3" t="inlineStr">
        <is>
          <t>-6.000</t>
        </is>
      </c>
    </row>
    <row r="28">
      <c r="A28" s="3" t="n">
        <v>18</v>
      </c>
      <c r="B28" s="3" t="inlineStr">
        <is>
          <t>Вн-6 (из КП лит. А, 4130)</t>
        </is>
      </c>
      <c r="C28" s="3" t="n">
        <v>4200</v>
      </c>
      <c r="D28" s="3" t="n">
        <v>4820</v>
      </c>
      <c r="E28" s="4">
        <f>ROUND(G28/F28,2)</f>
        <v/>
      </c>
      <c r="F28" s="3" t="n">
        <v>1</v>
      </c>
      <c r="G28" s="5" t="n">
        <v>19.82</v>
      </c>
      <c r="H28" s="3" t="inlineStr">
        <is>
          <t>-6.000</t>
        </is>
      </c>
    </row>
    <row r="29">
      <c r="A29" s="3" t="n">
        <v>19</v>
      </c>
      <c r="B29" s="3" t="inlineStr">
        <is>
          <t>Вн-6 (из КП лит. Б, 4450)</t>
        </is>
      </c>
      <c r="C29" s="3" t="n">
        <v>4200</v>
      </c>
      <c r="D29" s="3" t="n">
        <v>4820</v>
      </c>
      <c r="E29" s="4">
        <f>ROUND(G29/F29,2)</f>
        <v/>
      </c>
      <c r="F29" s="3" t="n">
        <v>1</v>
      </c>
      <c r="G29" s="5" t="n">
        <v>21.36</v>
      </c>
      <c r="H29" s="3" t="inlineStr">
        <is>
          <t>-6.000</t>
        </is>
      </c>
    </row>
    <row r="30">
      <c r="A30" s="3" t="n">
        <v>20</v>
      </c>
      <c r="B30" s="3" t="inlineStr">
        <is>
          <t>Вн-10</t>
        </is>
      </c>
      <c r="C30" s="3" t="n">
        <v>4160</v>
      </c>
      <c r="D30" s="3" t="n">
        <v>4820</v>
      </c>
      <c r="E30" s="4">
        <f>ROUND(G30/F30,2)</f>
        <v/>
      </c>
      <c r="F30" s="3" t="n">
        <v>1</v>
      </c>
      <c r="G30" s="5" t="n">
        <v>19.97</v>
      </c>
      <c r="H30" s="3" t="inlineStr">
        <is>
          <t>-6.000</t>
        </is>
      </c>
    </row>
    <row r="31">
      <c r="A31" s="3" t="n">
        <v>21</v>
      </c>
      <c r="B31" s="3" t="inlineStr">
        <is>
          <t>Вн-11</t>
        </is>
      </c>
      <c r="C31" s="3" t="n">
        <v>2450</v>
      </c>
      <c r="D31" s="3" t="n">
        <v>4820</v>
      </c>
      <c r="E31" s="4">
        <f>ROUND(G31/F31,2)</f>
        <v/>
      </c>
      <c r="F31" s="3" t="n">
        <v>1</v>
      </c>
      <c r="G31" s="5" t="n">
        <v>11.09</v>
      </c>
      <c r="H31" s="3" t="inlineStr">
        <is>
          <t>-6.000</t>
        </is>
      </c>
    </row>
    <row r="32">
      <c r="A32" s="3" t="n">
        <v>22</v>
      </c>
      <c r="B32" s="3" t="inlineStr">
        <is>
          <t>Вн-12</t>
        </is>
      </c>
      <c r="C32" s="3" t="n">
        <v>3370</v>
      </c>
      <c r="D32" s="3" t="n">
        <v>4820</v>
      </c>
      <c r="E32" s="4">
        <f>ROUND(G32/F32,2)</f>
        <v/>
      </c>
      <c r="F32" s="3" t="n">
        <v>1</v>
      </c>
      <c r="G32" s="5" t="n">
        <v>15.6</v>
      </c>
      <c r="H32" s="3" t="inlineStr">
        <is>
          <t>-6.000</t>
        </is>
      </c>
    </row>
    <row r="33">
      <c r="A33" s="3" t="n">
        <v>23</v>
      </c>
      <c r="B33" s="3" t="inlineStr">
        <is>
          <t>Вн-17</t>
        </is>
      </c>
      <c r="C33" s="3" t="n">
        <v>4200</v>
      </c>
      <c r="D33" s="3" t="n">
        <v>4820</v>
      </c>
      <c r="E33" s="4">
        <f>ROUND(G33/F33,2)</f>
        <v/>
      </c>
      <c r="F33" s="3" t="n">
        <v>1</v>
      </c>
      <c r="G33" s="5" t="n">
        <v>19.82</v>
      </c>
      <c r="H33" s="3" t="inlineStr">
        <is>
          <t>-6.000</t>
        </is>
      </c>
    </row>
    <row r="34">
      <c r="A34" s="3" t="n">
        <v>24</v>
      </c>
      <c r="B34" s="3" t="inlineStr">
        <is>
          <t>Вн-20</t>
        </is>
      </c>
      <c r="C34" s="3" t="n">
        <v>3900</v>
      </c>
      <c r="D34" s="3" t="n">
        <v>4820</v>
      </c>
      <c r="E34" s="4">
        <f>ROUND(G34/F34,2)</f>
        <v/>
      </c>
      <c r="F34" s="3" t="n">
        <v>1</v>
      </c>
      <c r="G34" s="5" t="n">
        <v>18.43</v>
      </c>
      <c r="H34" s="3" t="inlineStr">
        <is>
          <t>-6.000</t>
        </is>
      </c>
    </row>
    <row r="35">
      <c r="A35" s="3" t="n">
        <v>25</v>
      </c>
      <c r="B35" s="3" t="inlineStr">
        <is>
          <t>Вн-21</t>
        </is>
      </c>
      <c r="C35" s="3" t="n">
        <v>2920</v>
      </c>
      <c r="D35" s="3" t="n">
        <v>4820</v>
      </c>
      <c r="E35" s="4">
        <f>ROUND(G35/F35,2)</f>
        <v/>
      </c>
      <c r="F35" s="3" t="n">
        <v>1</v>
      </c>
      <c r="G35" s="5" t="n">
        <v>14.02</v>
      </c>
      <c r="H35" s="3" t="inlineStr">
        <is>
          <t>-6.000</t>
        </is>
      </c>
    </row>
    <row r="36">
      <c r="A36" s="7" t="n"/>
      <c r="B36" s="8" t="inlineStr">
        <is>
          <t>Итого литер Г</t>
        </is>
      </c>
      <c r="C36" s="7" t="n"/>
      <c r="D36" s="7" t="n"/>
      <c r="E36" s="9" t="n"/>
      <c r="F36" s="8">
        <f>SUM(F27:F35)</f>
        <v/>
      </c>
      <c r="G36" s="10">
        <f>SUM(G27:G35)</f>
        <v/>
      </c>
      <c r="H36" s="7" t="n"/>
    </row>
    <row r="37">
      <c r="A37" s="3" t="n"/>
      <c r="B37" s="18" t="inlineStr">
        <is>
          <t>Литер Д</t>
        </is>
      </c>
      <c r="C37" s="19" t="n"/>
      <c r="D37" s="19" t="n"/>
      <c r="E37" s="20" t="n"/>
      <c r="F37" s="19" t="n"/>
      <c r="G37" s="21" t="n"/>
      <c r="H37" s="19" t="n"/>
    </row>
    <row r="38">
      <c r="A38" s="3" t="n">
        <v>26</v>
      </c>
      <c r="B38" s="3" t="inlineStr">
        <is>
          <t>Вн-6</t>
        </is>
      </c>
      <c r="C38" s="3" t="n">
        <v>4200</v>
      </c>
      <c r="D38" s="3" t="n">
        <v>4820</v>
      </c>
      <c r="E38" s="4">
        <f>ROUND(G38/F38,2)</f>
        <v/>
      </c>
      <c r="F38" s="3" t="n">
        <v>2</v>
      </c>
      <c r="G38" s="5" t="n">
        <v>39.98</v>
      </c>
      <c r="H38" s="3" t="inlineStr">
        <is>
          <t>-6.000</t>
        </is>
      </c>
    </row>
    <row r="39">
      <c r="A39" s="3" t="n">
        <v>27</v>
      </c>
      <c r="B39" s="3" t="inlineStr">
        <is>
          <t>Вн-7</t>
        </is>
      </c>
      <c r="C39" s="3" t="n">
        <v>3020</v>
      </c>
      <c r="D39" s="3" t="n">
        <v>4820</v>
      </c>
      <c r="E39" s="4">
        <f>ROUND(G39/F39,2)</f>
        <v/>
      </c>
      <c r="F39" s="3" t="n">
        <v>1</v>
      </c>
      <c r="G39" s="5" t="n">
        <v>19.97</v>
      </c>
      <c r="H39" s="3" t="inlineStr">
        <is>
          <t>-6.000</t>
        </is>
      </c>
    </row>
    <row r="40">
      <c r="A40" s="3" t="n">
        <v>28</v>
      </c>
      <c r="B40" s="3" t="inlineStr">
        <is>
          <t>Вн-9</t>
        </is>
      </c>
      <c r="C40" s="3" t="n">
        <v>3870</v>
      </c>
      <c r="D40" s="3" t="n">
        <v>4820</v>
      </c>
      <c r="E40" s="4">
        <f>ROUND(G40/F40,2)</f>
        <v/>
      </c>
      <c r="F40" s="3" t="n">
        <v>1</v>
      </c>
      <c r="G40" s="5" t="n">
        <v>19.68</v>
      </c>
      <c r="H40" s="3" t="inlineStr">
        <is>
          <t>-6.000</t>
        </is>
      </c>
    </row>
    <row r="41">
      <c r="A41" s="3" t="n">
        <v>29</v>
      </c>
      <c r="B41" s="3" t="inlineStr">
        <is>
          <t>Вн-17</t>
        </is>
      </c>
      <c r="C41" s="3" t="n">
        <v>4200</v>
      </c>
      <c r="D41" s="3" t="n">
        <v>4820</v>
      </c>
      <c r="E41" s="4">
        <f>ROUND(G41/F41,2)</f>
        <v/>
      </c>
      <c r="F41" s="3" t="n">
        <v>1</v>
      </c>
      <c r="G41" s="5" t="n">
        <v>18.14</v>
      </c>
      <c r="H41" s="3" t="inlineStr">
        <is>
          <t>-6.000</t>
        </is>
      </c>
    </row>
    <row r="42">
      <c r="A42" s="7" t="n"/>
      <c r="B42" s="8" t="inlineStr">
        <is>
          <t>Итого литер Д</t>
        </is>
      </c>
      <c r="C42" s="7" t="n"/>
      <c r="D42" s="7" t="n"/>
      <c r="E42" s="9" t="n"/>
      <c r="F42" s="8">
        <f>SUM(F38:F41)</f>
        <v/>
      </c>
      <c r="G42" s="10">
        <f>SUM(G38:G41)</f>
        <v/>
      </c>
      <c r="H42" s="7" t="n"/>
    </row>
    <row r="43">
      <c r="A43" s="3" t="n"/>
      <c r="B43" s="22" t="inlineStr">
        <is>
          <t>ВСЕГО</t>
        </is>
      </c>
      <c r="C43" s="3" t="n"/>
      <c r="D43" s="3" t="n"/>
      <c r="E43" s="4" t="n"/>
      <c r="F43" s="22">
        <f>F10+F17+F25+F36+F42</f>
        <v/>
      </c>
      <c r="G43" s="23">
        <f>G10+G17+G25+G36+G42</f>
        <v/>
      </c>
      <c r="H43" s="3" t="n"/>
    </row>
  </sheetData>
  <mergeCells count="5">
    <mergeCell ref="B26:H26"/>
    <mergeCell ref="B18:H18"/>
    <mergeCell ref="B4:H4"/>
    <mergeCell ref="B11:H11"/>
    <mergeCell ref="B37:H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</cols>
  <sheetData>
    <row r="1">
      <c r="A1" s="24" t="inlineStr">
        <is>
          <t>Витражи на чертежах, входящие в КП (координаты — точка выноски, мм)</t>
        </is>
      </c>
    </row>
    <row r="2">
      <c r="A2" t="inlineStr">
        <is>
          <t>«1 из 3» — на чертеже больше, чем в КП; какие именно — по КП не определить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  <c r="H3" s="2" t="inlineStr">
        <is>
          <t>В КП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25" t="n">
        <v>129957</v>
      </c>
      <c r="G4" s="25" t="n">
        <v>-240209</v>
      </c>
      <c r="H4" s="3" t="inlineStr">
        <is>
          <t>да</t>
        </is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25" t="n">
        <v>140357</v>
      </c>
      <c r="G5" s="25" t="n">
        <v>-240209</v>
      </c>
      <c r="H5" s="3" t="inlineStr">
        <is>
          <t>да</t>
        </is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25" t="n">
        <v>150757</v>
      </c>
      <c r="G6" s="25" t="n">
        <v>-240209</v>
      </c>
      <c r="H6" s="3" t="inlineStr">
        <is>
          <t>да</t>
        </is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25" t="n">
        <v>144757</v>
      </c>
      <c r="G7" s="25" t="n">
        <v>-240209</v>
      </c>
      <c r="H7" s="3" t="inlineStr">
        <is>
          <t>да</t>
        </is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25" t="n">
        <v>134299</v>
      </c>
      <c r="G8" s="25" t="n">
        <v>-240209</v>
      </c>
      <c r="H8" s="3" t="inlineStr">
        <is>
          <t>да</t>
        </is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25" t="n">
        <v>136557</v>
      </c>
      <c r="G9" s="25" t="n">
        <v>-240209</v>
      </c>
      <c r="H9" s="3" t="inlineStr">
        <is>
          <t>да</t>
        </is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25" t="n">
        <v>118357</v>
      </c>
      <c r="G10" s="25" t="n">
        <v>-240209</v>
      </c>
      <c r="H10" s="3" t="inlineStr">
        <is>
          <t>да</t>
        </is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25" t="n">
        <v>96357</v>
      </c>
      <c r="G11" s="25" t="n">
        <v>-240209</v>
      </c>
      <c r="H11" s="3" t="inlineStr">
        <is>
          <t>да</t>
        </is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25" t="n">
        <v>106757</v>
      </c>
      <c r="G12" s="25" t="n">
        <v>-240209</v>
      </c>
      <c r="H12" s="3" t="inlineStr">
        <is>
          <t>да</t>
        </is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25" t="n">
        <v>103802</v>
      </c>
      <c r="G13" s="25" t="n">
        <v>-240189</v>
      </c>
      <c r="H13" s="3" t="inlineStr">
        <is>
          <t>да</t>
        </is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25" t="n">
        <v>111957</v>
      </c>
      <c r="G14" s="25" t="n">
        <v>-240209</v>
      </c>
      <c r="H14" s="3" t="inlineStr">
        <is>
          <t>да</t>
        </is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25" t="n">
        <v>101557</v>
      </c>
      <c r="G15" s="25" t="n">
        <v>-240209</v>
      </c>
      <c r="H15" s="3" t="inlineStr">
        <is>
          <t>да</t>
        </is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25" t="n">
        <v>85312</v>
      </c>
      <c r="G16" s="25" t="n">
        <v>-240209</v>
      </c>
      <c r="H16" s="3" t="inlineStr">
        <is>
          <t>да</t>
        </is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25" t="n">
        <v>62827</v>
      </c>
      <c r="G17" s="25" t="n">
        <v>-240209</v>
      </c>
      <c r="H17" s="3" t="inlineStr">
        <is>
          <t>да</t>
        </is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25" t="n">
        <v>75379</v>
      </c>
      <c r="G18" s="25" t="n">
        <v>-240209</v>
      </c>
      <c r="H18" s="3" t="inlineStr">
        <is>
          <t>да</t>
        </is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25" t="n">
        <v>58219</v>
      </c>
      <c r="G19" s="25" t="n">
        <v>-240238</v>
      </c>
      <c r="H19" s="3" t="inlineStr">
        <is>
          <t>да</t>
        </is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25" t="n">
        <v>60392</v>
      </c>
      <c r="G20" s="25" t="n">
        <v>-240238</v>
      </c>
      <c r="H20" s="3" t="inlineStr">
        <is>
          <t>да</t>
        </is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25" t="n">
        <v>78410</v>
      </c>
      <c r="G21" s="25" t="n">
        <v>-240123</v>
      </c>
      <c r="H21" s="3" t="inlineStr">
        <is>
          <t>да</t>
        </is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25" t="n">
        <v>66863</v>
      </c>
      <c r="G22" s="25" t="n">
        <v>-240209</v>
      </c>
      <c r="H22" s="3" t="inlineStr">
        <is>
          <t>да</t>
        </is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25" t="n">
        <v>72058</v>
      </c>
      <c r="G23" s="25" t="n">
        <v>-240209</v>
      </c>
      <c r="H23" s="3" t="inlineStr">
        <is>
          <t>да</t>
        </is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25" t="n">
        <v>38425</v>
      </c>
      <c r="G24" s="25" t="n">
        <v>-227349</v>
      </c>
      <c r="H24" s="3" t="inlineStr">
        <is>
          <t>да</t>
        </is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25" t="n">
        <v>43228</v>
      </c>
      <c r="G25" s="25" t="n">
        <v>-240130</v>
      </c>
      <c r="H25" s="3" t="inlineStr">
        <is>
          <t>да</t>
        </is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25" t="n">
        <v>53628</v>
      </c>
      <c r="G26" s="25" t="n">
        <v>-240130</v>
      </c>
      <c r="H26" s="3" t="inlineStr">
        <is>
          <t>да</t>
        </is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25" t="n">
        <v>38425</v>
      </c>
      <c r="G27" s="25" t="n">
        <v>-203499</v>
      </c>
      <c r="H27" s="3" t="inlineStr">
        <is>
          <t>да</t>
        </is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25" t="n">
        <v>38425</v>
      </c>
      <c r="G28" s="25" t="n">
        <v>-213004</v>
      </c>
      <c r="H28" s="3" t="inlineStr">
        <is>
          <t>да</t>
        </is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25" t="n">
        <v>38425</v>
      </c>
      <c r="G29" s="25" t="n">
        <v>-217364</v>
      </c>
      <c r="H29" s="3" t="inlineStr">
        <is>
          <t>да</t>
        </is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25" t="n">
        <v>38425</v>
      </c>
      <c r="G30" s="25" t="n">
        <v>-237749</v>
      </c>
      <c r="H30" s="3" t="inlineStr">
        <is>
          <t>1 из 2</t>
        </is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25" t="n">
        <v>47835</v>
      </c>
      <c r="G31" s="25" t="n">
        <v>-240108</v>
      </c>
      <c r="H31" s="3" t="inlineStr">
        <is>
          <t>1 из 2</t>
        </is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25" t="n">
        <v>38425</v>
      </c>
      <c r="G32" s="25" t="n">
        <v>-221999</v>
      </c>
      <c r="H32" s="3" t="inlineStr">
        <is>
          <t>да</t>
        </is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25" t="n">
        <v>38425</v>
      </c>
      <c r="G33" s="25" t="n">
        <v>-231909</v>
      </c>
      <c r="H33" s="3" t="inlineStr">
        <is>
          <t>да</t>
        </is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25" t="n">
        <v>38538</v>
      </c>
      <c r="G34" s="25" t="n">
        <v>-179543</v>
      </c>
      <c r="H34" s="3" t="inlineStr">
        <is>
          <t>да</t>
        </is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25" t="n">
        <v>38538</v>
      </c>
      <c r="G35" s="25" t="n">
        <v>-169143</v>
      </c>
      <c r="H35" s="3" t="inlineStr">
        <is>
          <t>да</t>
        </is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25" t="n">
        <v>38538</v>
      </c>
      <c r="G36" s="25" t="n">
        <v>-174933</v>
      </c>
      <c r="H36" s="3" t="inlineStr">
        <is>
          <t>да</t>
        </is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25" t="n">
        <v>38538</v>
      </c>
      <c r="G37" s="25" t="n">
        <v>-195128</v>
      </c>
      <c r="H37" s="3" t="inlineStr">
        <is>
          <t>да</t>
        </is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25" t="n">
        <v>38538</v>
      </c>
      <c r="G38" s="25" t="n">
        <v>-189943</v>
      </c>
      <c r="H38" s="3" t="inlineStr">
        <is>
          <t>да</t>
        </is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25" t="n">
        <v>112864</v>
      </c>
      <c r="G39" s="25" t="n">
        <v>2824</v>
      </c>
      <c r="H39" s="3" t="inlineStr">
        <is>
          <t>да</t>
        </is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25" t="n">
        <v>106184</v>
      </c>
      <c r="G40" s="25" t="n">
        <v>2691</v>
      </c>
      <c r="H40" s="3" t="inlineStr">
        <is>
          <t>да</t>
        </is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25" t="n">
        <v>100327</v>
      </c>
      <c r="G41" s="25" t="n">
        <v>2943</v>
      </c>
      <c r="H41" s="3" t="inlineStr">
        <is>
          <t>да</t>
        </is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25" t="n">
        <v>93122</v>
      </c>
      <c r="G42" s="25" t="n">
        <v>2886</v>
      </c>
      <c r="H42" s="3" t="inlineStr">
        <is>
          <t>да</t>
        </is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25" t="n">
        <v>86467</v>
      </c>
      <c r="G43" s="25" t="n">
        <v>2773</v>
      </c>
      <c r="H43" s="3" t="inlineStr">
        <is>
          <t>да</t>
        </is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Б</t>
        </is>
      </c>
      <c r="D44" s="3" t="inlineStr">
        <is>
          <t>Вн-22</t>
        </is>
      </c>
      <c r="E44" s="3" t="inlineStr">
        <is>
          <t>Д17*</t>
        </is>
      </c>
      <c r="F44" s="25" t="n">
        <v>79305</v>
      </c>
      <c r="G44" s="25" t="n">
        <v>3099</v>
      </c>
      <c r="H44" s="3" t="inlineStr">
        <is>
          <t>да</t>
        </is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Б</t>
        </is>
      </c>
      <c r="D45" s="3" t="inlineStr">
        <is>
          <t>Вн-22</t>
        </is>
      </c>
      <c r="E45" s="3" t="inlineStr">
        <is>
          <t>Д17*</t>
        </is>
      </c>
      <c r="F45" s="25" t="n">
        <v>72445</v>
      </c>
      <c r="G45" s="25" t="n">
        <v>3048</v>
      </c>
      <c r="H45" s="3" t="inlineStr">
        <is>
          <t>да</t>
        </is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25" t="n">
        <v>64804</v>
      </c>
      <c r="G46" s="25" t="n">
        <v>2917</v>
      </c>
      <c r="H46" s="3" t="inlineStr">
        <is>
          <t>да</t>
        </is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25" t="n">
        <v>59604</v>
      </c>
      <c r="G47" s="25" t="n">
        <v>2985</v>
      </c>
      <c r="H47" s="3" t="inlineStr">
        <is>
          <t>да</t>
        </is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25" t="n">
        <v>53064</v>
      </c>
      <c r="G48" s="25" t="n">
        <v>2948</v>
      </c>
      <c r="H48" s="3" t="inlineStr">
        <is>
          <t>да</t>
        </is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В</t>
        </is>
      </c>
      <c r="D49" s="3" t="inlineStr">
        <is>
          <t>Вн-22</t>
        </is>
      </c>
      <c r="E49" s="3" t="inlineStr">
        <is>
          <t>Д35</t>
        </is>
      </c>
      <c r="F49" s="25" t="n">
        <v>45611</v>
      </c>
      <c r="G49" s="25" t="n">
        <v>3036</v>
      </c>
      <c r="H49" s="3" t="inlineStr">
        <is>
          <t>1 из 4</t>
        </is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В</t>
        </is>
      </c>
      <c r="D50" s="3" t="inlineStr">
        <is>
          <t>Вн-22</t>
        </is>
      </c>
      <c r="E50" s="3" t="inlineStr">
        <is>
          <t>Д17*</t>
        </is>
      </c>
      <c r="F50" s="25" t="n">
        <v>39399</v>
      </c>
      <c r="G50" s="25" t="n">
        <v>2969</v>
      </c>
      <c r="H50" s="3" t="inlineStr">
        <is>
          <t>1 из 4</t>
        </is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В</t>
        </is>
      </c>
      <c r="D51" s="3" t="inlineStr">
        <is>
          <t>Вн-22</t>
        </is>
      </c>
      <c r="E51" s="3" t="inlineStr">
        <is>
          <t>Д17*</t>
        </is>
      </c>
      <c r="F51" s="25" t="n">
        <v>33459</v>
      </c>
      <c r="G51" s="25" t="n">
        <v>3046</v>
      </c>
      <c r="H51" s="3" t="inlineStr">
        <is>
          <t>1 из 4</t>
        </is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В</t>
        </is>
      </c>
      <c r="D52" s="3" t="inlineStr">
        <is>
          <t>Вн-22</t>
        </is>
      </c>
      <c r="E52" s="3" t="inlineStr">
        <is>
          <t>Д17*</t>
        </is>
      </c>
      <c r="F52" s="25" t="n">
        <v>26027</v>
      </c>
      <c r="G52" s="25" t="n">
        <v>2978</v>
      </c>
      <c r="H52" s="3" t="inlineStr">
        <is>
          <t>1 из 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8" customWidth="1" min="3" max="3"/>
    <col width="9" customWidth="1" min="4" max="4"/>
    <col width="9" customWidth="1" min="5" max="5"/>
    <col width="10" customWidth="1" min="6" max="6"/>
    <col width="8" customWidth="1" min="7" max="7"/>
    <col width="13" customWidth="1" min="8" max="8"/>
    <col width="9" customWidth="1" min="9" max="9"/>
    <col width="12" customWidth="1" min="10" max="10"/>
    <col width="40" customWidth="1" min="11" max="11"/>
  </cols>
  <sheetData>
    <row r="1">
      <c r="A1" s="1" t="inlineStr">
        <is>
          <t>Позиции КП, не вошедшие в спецификацию (нет на чертежах или на чертежах меньше, чем в КП)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Марка</t>
        </is>
      </c>
      <c r="D3" s="2" t="inlineStr">
        <is>
          <t>Длина, мм</t>
        </is>
      </c>
      <c r="E3" s="2" t="inlineStr">
        <is>
          <t>Высота, мм</t>
        </is>
      </c>
      <c r="F3" s="2" t="inlineStr">
        <is>
          <t>Площадь 1 шт по КП, м²</t>
        </is>
      </c>
      <c r="G3" s="2" t="inlineStr">
        <is>
          <t>В КП, шт</t>
        </is>
      </c>
      <c r="H3" s="2" t="inlineStr">
        <is>
          <t>Вошло в спецификацию, шт</t>
        </is>
      </c>
      <c r="I3" s="2" t="inlineStr">
        <is>
          <t>Не вошло, шт</t>
        </is>
      </c>
      <c r="J3" s="2" t="inlineStr">
        <is>
          <t>Площадь не вошедшего, м²</t>
        </is>
      </c>
      <c r="K3" s="2" t="inlineStr">
        <is>
          <t>Причина</t>
        </is>
      </c>
    </row>
    <row r="4">
      <c r="A4" s="3" t="n">
        <v>1</v>
      </c>
      <c r="B4" s="3" t="inlineStr">
        <is>
          <t>Д</t>
        </is>
      </c>
      <c r="C4" s="3" t="inlineStr">
        <is>
          <t>Вн-10</t>
        </is>
      </c>
      <c r="D4" s="3" t="n">
        <v>4160</v>
      </c>
      <c r="E4" s="3" t="n">
        <v>4820</v>
      </c>
      <c r="F4" s="4" t="n">
        <v>20.16</v>
      </c>
      <c r="G4" s="3" t="n">
        <v>1</v>
      </c>
      <c r="H4" s="3" t="n">
        <v>0</v>
      </c>
      <c r="I4" s="3">
        <f>G4-H4</f>
        <v/>
      </c>
      <c r="J4" s="5">
        <f>ROUND(I4*F4,2)</f>
        <v/>
      </c>
      <c r="K4" s="6" t="inlineStr">
        <is>
          <t>нет на чертежах</t>
        </is>
      </c>
    </row>
    <row r="5">
      <c r="A5" s="3" t="n">
        <v>2</v>
      </c>
      <c r="B5" s="3" t="inlineStr">
        <is>
          <t>без литера</t>
        </is>
      </c>
      <c r="C5" s="3" t="inlineStr">
        <is>
          <t>Вн-6</t>
        </is>
      </c>
      <c r="D5" s="3" t="n">
        <v>4130</v>
      </c>
      <c r="E5" s="3" t="n">
        <v>4800</v>
      </c>
      <c r="F5" s="4">
        <f>ROUND(D5*E5/1000000,2)</f>
        <v/>
      </c>
      <c r="G5" s="3" t="n">
        <v>1</v>
      </c>
      <c r="H5" s="3" t="n">
        <v>0</v>
      </c>
      <c r="I5" s="3">
        <f>G5-H5</f>
        <v/>
      </c>
      <c r="J5" s="5">
        <f>ROUND(I5*F5,2)</f>
        <v/>
      </c>
      <c r="K5" s="6" t="inlineStr">
        <is>
          <t>остаток КП без литера, по размеру к строкам договора не подходит</t>
        </is>
      </c>
    </row>
    <row r="6">
      <c r="A6" s="3" t="n">
        <v>3</v>
      </c>
      <c r="B6" s="3" t="inlineStr">
        <is>
          <t>без литера</t>
        </is>
      </c>
      <c r="C6" s="3" t="inlineStr">
        <is>
          <t>Вн-9</t>
        </is>
      </c>
      <c r="D6" s="3" t="n">
        <v>4060</v>
      </c>
      <c r="E6" s="3" t="n">
        <v>4800</v>
      </c>
      <c r="F6" s="4">
        <f>ROUND(D6*E6/1000000,2)</f>
        <v/>
      </c>
      <c r="G6" s="3" t="n">
        <v>1</v>
      </c>
      <c r="H6" s="3" t="n">
        <v>0</v>
      </c>
      <c r="I6" s="3">
        <f>G6-H6</f>
        <v/>
      </c>
      <c r="J6" s="5">
        <f>ROUND(I6*F6,2)</f>
        <v/>
      </c>
      <c r="K6" s="6" t="inlineStr">
        <is>
          <t>остаток КП без литера, по размеру к строкам договора не подходит</t>
        </is>
      </c>
    </row>
    <row r="7">
      <c r="A7" s="3" t="n">
        <v>4</v>
      </c>
      <c r="B7" s="3" t="inlineStr">
        <is>
          <t>без литера</t>
        </is>
      </c>
      <c r="C7" s="3" t="inlineStr">
        <is>
          <t>Вн-16</t>
        </is>
      </c>
      <c r="D7" s="3" t="n">
        <v>1320</v>
      </c>
      <c r="E7" s="3" t="n">
        <v>4800</v>
      </c>
      <c r="F7" s="4">
        <f>ROUND(D7*E7/1000000,2)</f>
        <v/>
      </c>
      <c r="G7" s="3" t="n">
        <v>1</v>
      </c>
      <c r="H7" s="3" t="n">
        <v>0</v>
      </c>
      <c r="I7" s="3">
        <f>G7-H7</f>
        <v/>
      </c>
      <c r="J7" s="5">
        <f>ROUND(I7*F7,2)</f>
        <v/>
      </c>
      <c r="K7" s="6" t="inlineStr">
        <is>
          <t>остаток КП без литера, по размеру к строкам договора не подходит</t>
        </is>
      </c>
    </row>
    <row r="8">
      <c r="A8" s="3" t="n">
        <v>5</v>
      </c>
      <c r="B8" s="3" t="inlineStr">
        <is>
          <t>без литера</t>
        </is>
      </c>
      <c r="C8" s="3" t="inlineStr">
        <is>
          <t>Вн-16</t>
        </is>
      </c>
      <c r="D8" s="3" t="n">
        <v>1020</v>
      </c>
      <c r="E8" s="3" t="n">
        <v>4800</v>
      </c>
      <c r="F8" s="4">
        <f>ROUND(D8*E8/1000000,2)</f>
        <v/>
      </c>
      <c r="G8" s="3" t="n">
        <v>1</v>
      </c>
      <c r="H8" s="3" t="n">
        <v>0</v>
      </c>
      <c r="I8" s="3">
        <f>G8-H8</f>
        <v/>
      </c>
      <c r="J8" s="5">
        <f>ROUND(I8*F8,2)</f>
        <v/>
      </c>
      <c r="K8" s="6" t="inlineStr">
        <is>
          <t>остаток КП без литера, по размеру к строкам договора не подходит</t>
        </is>
      </c>
    </row>
    <row r="9">
      <c r="A9" s="3" t="n">
        <v>6</v>
      </c>
      <c r="B9" s="3" t="inlineStr">
        <is>
          <t>без литера</t>
        </is>
      </c>
      <c r="C9" s="3" t="inlineStr">
        <is>
          <t>Вн-17</t>
        </is>
      </c>
      <c r="D9" s="3" t="n">
        <v>4020</v>
      </c>
      <c r="E9" s="3" t="n">
        <v>4800</v>
      </c>
      <c r="F9" s="4">
        <f>ROUND(D9*E9/1000000,2)</f>
        <v/>
      </c>
      <c r="G9" s="3" t="n">
        <v>1</v>
      </c>
      <c r="H9" s="3" t="n">
        <v>0</v>
      </c>
      <c r="I9" s="3">
        <f>G9-H9</f>
        <v/>
      </c>
      <c r="J9" s="5">
        <f>ROUND(I9*F9,2)</f>
        <v/>
      </c>
      <c r="K9" s="6" t="inlineStr">
        <is>
          <t>остаток КП без литера, по размеру к строкам договора не подходит</t>
        </is>
      </c>
    </row>
    <row r="10">
      <c r="A10" s="3" t="n">
        <v>7</v>
      </c>
      <c r="B10" s="3" t="inlineStr">
        <is>
          <t>без литера</t>
        </is>
      </c>
      <c r="C10" s="3" t="inlineStr">
        <is>
          <t>Вн-17</t>
        </is>
      </c>
      <c r="D10" s="3" t="n">
        <v>3750</v>
      </c>
      <c r="E10" s="3" t="n">
        <v>4800</v>
      </c>
      <c r="F10" s="4">
        <f>ROUND(D10*E10/1000000,2)</f>
        <v/>
      </c>
      <c r="G10" s="3" t="n">
        <v>1</v>
      </c>
      <c r="H10" s="3" t="n">
        <v>0</v>
      </c>
      <c r="I10" s="3">
        <f>G10-H10</f>
        <v/>
      </c>
      <c r="J10" s="5">
        <f>ROUND(I10*F10,2)</f>
        <v/>
      </c>
      <c r="K10" s="6" t="inlineStr">
        <is>
          <t>остаток КП без литера, по размеру к строкам договора не подходит</t>
        </is>
      </c>
    </row>
    <row r="11">
      <c r="A11" s="3" t="n">
        <v>8</v>
      </c>
      <c r="B11" s="3" t="inlineStr">
        <is>
          <t>без литера</t>
        </is>
      </c>
      <c r="C11" s="3" t="inlineStr">
        <is>
          <t>Вн-19</t>
        </is>
      </c>
      <c r="D11" s="3" t="n">
        <v>2860</v>
      </c>
      <c r="E11" s="3" t="n">
        <v>4800</v>
      </c>
      <c r="F11" s="4">
        <f>ROUND(D11*E11/1000000,2)</f>
        <v/>
      </c>
      <c r="G11" s="3" t="n">
        <v>1</v>
      </c>
      <c r="H11" s="3" t="n">
        <v>0</v>
      </c>
      <c r="I11" s="3">
        <f>G11-H11</f>
        <v/>
      </c>
      <c r="J11" s="5">
        <f>ROUND(I11*F11,2)</f>
        <v/>
      </c>
      <c r="K11" s="6" t="inlineStr">
        <is>
          <t>остаток КП без литера, по размеру к строкам договора не подходит</t>
        </is>
      </c>
    </row>
    <row r="12">
      <c r="A12" s="3" t="n">
        <v>9</v>
      </c>
      <c r="B12" s="3" t="inlineStr">
        <is>
          <t>без литера</t>
        </is>
      </c>
      <c r="C12" s="3" t="inlineStr">
        <is>
          <t>Вн-19</t>
        </is>
      </c>
      <c r="D12" s="3" t="n">
        <v>2920</v>
      </c>
      <c r="E12" s="3" t="n">
        <v>4800</v>
      </c>
      <c r="F12" s="4">
        <f>ROUND(D12*E12/1000000,2)</f>
        <v/>
      </c>
      <c r="G12" s="3" t="n">
        <v>1</v>
      </c>
      <c r="H12" s="3" t="n">
        <v>0</v>
      </c>
      <c r="I12" s="3">
        <f>G12-H12</f>
        <v/>
      </c>
      <c r="J12" s="5">
        <f>ROUND(I12*F12,2)</f>
        <v/>
      </c>
      <c r="K12" s="6" t="inlineStr">
        <is>
          <t>остаток КП без литера, по размеру к строкам договора не подходит</t>
        </is>
      </c>
    </row>
    <row r="13">
      <c r="A13" s="7" t="n"/>
      <c r="B13" s="7" t="n"/>
      <c r="C13" s="8" t="inlineStr">
        <is>
          <t>ИТОГО</t>
        </is>
      </c>
      <c r="D13" s="7" t="n"/>
      <c r="E13" s="7" t="n"/>
      <c r="F13" s="9" t="n"/>
      <c r="G13" s="8">
        <f>SUM(G4:G12)</f>
        <v/>
      </c>
      <c r="H13" s="8">
        <f>SUM(H4:H12)</f>
        <v/>
      </c>
      <c r="I13" s="8">
        <f>SUM(I4:I12)</f>
        <v/>
      </c>
      <c r="J13" s="10">
        <f>SUM(J4:J12)</f>
        <v/>
      </c>
      <c r="K13" s="11" t="n"/>
    </row>
  </sheetData>
  <pageMargins left="0.75" right="0.75" top="1" bottom="1" header="0.5" footer="0.5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96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9" customWidth="1" min="3" max="3"/>
    <col width="9" customWidth="1" min="4" max="4"/>
    <col width="10" customWidth="1" min="5" max="5"/>
    <col width="10" customWidth="1" min="6" max="6"/>
    <col width="9" customWidth="1" min="7" max="7"/>
    <col width="12" customWidth="1" min="8" max="8"/>
    <col width="11" customWidth="1" min="9" max="9"/>
    <col width="10" customWidth="1" min="10" max="10"/>
    <col width="17" customWidth="1" min="11" max="11"/>
  </cols>
  <sheetData>
    <row r="1">
      <c r="A1" s="24" t="inlineStr">
        <is>
          <t>Сверка с КП. В спецификации площадь по КП = ширина × высота из КП (как в таблице заказчика)</t>
        </is>
      </c>
    </row>
    <row r="2">
      <c r="A2" t="inlineStr">
        <is>
          <t>«Площадь в КП» — цифра из самого КП: она меньше, т.к. двери посчитаны отдельными КП от 13.04</t>
        </is>
      </c>
    </row>
    <row r="3">
      <c r="A3" s="24" t="inlineStr">
        <is>
          <t>1. Позиции КП на витражи</t>
        </is>
      </c>
    </row>
    <row r="4" ht="60" customHeight="1">
      <c r="A4" s="2" t="inlineStr">
        <is>
          <t>№</t>
        </is>
      </c>
      <c r="B4" s="2" t="inlineStr">
        <is>
          <t>КП</t>
        </is>
      </c>
      <c r="C4" s="2" t="inlineStr">
        <is>
          <t>№ в КП</t>
        </is>
      </c>
      <c r="D4" s="2" t="inlineStr">
        <is>
          <t>Марка</t>
        </is>
      </c>
      <c r="E4" s="2" t="inlineStr">
        <is>
          <t>Ширина, мм</t>
        </is>
      </c>
      <c r="F4" s="2" t="inlineStr">
        <is>
          <t>Высота, мм</t>
        </is>
      </c>
      <c r="G4" s="2" t="inlineStr">
        <is>
          <t>Кол-во, шт</t>
        </is>
      </c>
      <c r="H4" s="26" t="inlineStr">
        <is>
          <t>Площадь по размерам КП, м²</t>
        </is>
      </c>
      <c r="I4" s="26" t="inlineStr">
        <is>
          <t>Площадь в КП, м²</t>
        </is>
      </c>
      <c r="J4" s="26" t="inlineStr">
        <is>
          <t>Разница, м²</t>
        </is>
      </c>
      <c r="K4" s="2" t="inlineStr">
        <is>
          <t>Куда отнесено</t>
        </is>
      </c>
    </row>
    <row r="5">
      <c r="A5" s="3" t="n">
        <v>1</v>
      </c>
      <c r="B5" s="3" t="inlineStr">
        <is>
          <t>Блок А 06.04</t>
        </is>
      </c>
      <c r="C5" s="3" t="n">
        <v>1</v>
      </c>
      <c r="D5" s="3" t="inlineStr">
        <is>
          <t>Вн-6</t>
        </is>
      </c>
      <c r="E5" s="3" t="n">
        <v>4150</v>
      </c>
      <c r="F5" s="3" t="n">
        <v>4800</v>
      </c>
      <c r="G5" s="3" t="n">
        <v>3</v>
      </c>
      <c r="H5" s="4">
        <f>ROUND(E5*F5*G5/1000000,2)</f>
        <v/>
      </c>
      <c r="I5" s="4" t="n">
        <v>48.63</v>
      </c>
      <c r="J5" s="4">
        <f>H5-I5</f>
        <v/>
      </c>
      <c r="K5" s="3" t="inlineStr">
        <is>
          <t>А</t>
        </is>
      </c>
    </row>
    <row r="6">
      <c r="A6" s="3" t="n">
        <v>2</v>
      </c>
      <c r="B6" s="3" t="inlineStr">
        <is>
          <t>Блок А 06.04</t>
        </is>
      </c>
      <c r="C6" s="3" t="n">
        <v>2</v>
      </c>
      <c r="D6" s="3" t="inlineStr">
        <is>
          <t>Вн-8</t>
        </is>
      </c>
      <c r="E6" s="3" t="n">
        <v>2570</v>
      </c>
      <c r="F6" s="3" t="n">
        <v>4800</v>
      </c>
      <c r="G6" s="3" t="n">
        <v>1</v>
      </c>
      <c r="H6" s="4">
        <f>ROUND(E6*F6*G6/1000000,2)</f>
        <v/>
      </c>
      <c r="I6" s="4" t="n">
        <v>12.08</v>
      </c>
      <c r="J6" s="4">
        <f>H6-I6</f>
        <v/>
      </c>
      <c r="K6" s="3" t="inlineStr">
        <is>
          <t>А</t>
        </is>
      </c>
    </row>
    <row r="7">
      <c r="A7" s="3" t="n">
        <v>3</v>
      </c>
      <c r="B7" s="3" t="inlineStr">
        <is>
          <t>Блок А 06.04</t>
        </is>
      </c>
      <c r="C7" s="3" t="n">
        <v>3</v>
      </c>
      <c r="D7" s="3" t="inlineStr">
        <is>
          <t>Вн-15</t>
        </is>
      </c>
      <c r="E7" s="3" t="n">
        <v>1170</v>
      </c>
      <c r="F7" s="3" t="n">
        <v>4800</v>
      </c>
      <c r="G7" s="3" t="n">
        <v>1</v>
      </c>
      <c r="H7" s="4">
        <f>ROUND(E7*F7*G7/1000000,2)</f>
        <v/>
      </c>
      <c r="I7" s="4" t="n">
        <v>2.64</v>
      </c>
      <c r="J7" s="4">
        <f>H7-I7</f>
        <v/>
      </c>
      <c r="K7" s="3" t="inlineStr">
        <is>
          <t>А</t>
        </is>
      </c>
    </row>
    <row r="8">
      <c r="A8" s="3" t="n">
        <v>4</v>
      </c>
      <c r="B8" s="3" t="inlineStr">
        <is>
          <t>Блок А 06.04</t>
        </is>
      </c>
      <c r="C8" s="3" t="n">
        <v>4</v>
      </c>
      <c r="D8" s="3" t="inlineStr">
        <is>
          <t>Вн-14</t>
        </is>
      </c>
      <c r="E8" s="3" t="n">
        <v>2320</v>
      </c>
      <c r="F8" s="3" t="n">
        <v>4800</v>
      </c>
      <c r="G8" s="3" t="n">
        <v>1</v>
      </c>
      <c r="H8" s="4">
        <f>ROUND(E8*F8*G8/1000000,2)</f>
        <v/>
      </c>
      <c r="I8" s="4" t="n">
        <v>7.55</v>
      </c>
      <c r="J8" s="4">
        <f>H8-I8</f>
        <v/>
      </c>
      <c r="K8" s="3" t="inlineStr">
        <is>
          <t>А</t>
        </is>
      </c>
    </row>
    <row r="9">
      <c r="A9" s="3" t="n">
        <v>5</v>
      </c>
      <c r="B9" s="3" t="inlineStr">
        <is>
          <t>Блок Б 06.04</t>
        </is>
      </c>
      <c r="C9" s="3" t="n">
        <v>1</v>
      </c>
      <c r="D9" s="3" t="inlineStr">
        <is>
          <t>Вн-6</t>
        </is>
      </c>
      <c r="E9" s="3" t="n">
        <v>4040</v>
      </c>
      <c r="F9" s="3" t="n">
        <v>4800</v>
      </c>
      <c r="G9" s="3" t="n">
        <v>1</v>
      </c>
      <c r="H9" s="4">
        <f>ROUND(E9*F9*G9/1000000,2)</f>
        <v/>
      </c>
      <c r="I9" s="4" t="n">
        <v>15.69</v>
      </c>
      <c r="J9" s="4">
        <f>H9-I9</f>
        <v/>
      </c>
      <c r="K9" s="3" t="inlineStr">
        <is>
          <t>Б</t>
        </is>
      </c>
    </row>
    <row r="10">
      <c r="A10" s="3" t="n">
        <v>6</v>
      </c>
      <c r="B10" s="3" t="inlineStr">
        <is>
          <t>Блок Б 06.04</t>
        </is>
      </c>
      <c r="C10" s="3" t="n">
        <v>2</v>
      </c>
      <c r="D10" s="3" t="inlineStr">
        <is>
          <t>Вн-17</t>
        </is>
      </c>
      <c r="E10" s="3" t="n">
        <v>4060</v>
      </c>
      <c r="F10" s="3" t="n">
        <v>4800</v>
      </c>
      <c r="G10" s="3" t="n">
        <v>1</v>
      </c>
      <c r="H10" s="4">
        <f>ROUND(E10*F10*G10/1000000,2)</f>
        <v/>
      </c>
      <c r="I10" s="4" t="n">
        <v>19.08</v>
      </c>
      <c r="J10" s="4">
        <f>H10-I10</f>
        <v/>
      </c>
      <c r="K10" s="3" t="inlineStr">
        <is>
          <t>Б</t>
        </is>
      </c>
    </row>
    <row r="11">
      <c r="A11" s="3" t="n">
        <v>7</v>
      </c>
      <c r="B11" s="3" t="inlineStr">
        <is>
          <t>Блок Б 06.04</t>
        </is>
      </c>
      <c r="C11" s="3" t="n">
        <v>3</v>
      </c>
      <c r="D11" s="3" t="inlineStr">
        <is>
          <t>Вн-6</t>
        </is>
      </c>
      <c r="E11" s="3" t="n">
        <v>4060</v>
      </c>
      <c r="F11" s="3" t="n">
        <v>4800</v>
      </c>
      <c r="G11" s="3" t="n">
        <v>1</v>
      </c>
      <c r="H11" s="4">
        <f>ROUND(E11*F11*G11/1000000,2)</f>
        <v/>
      </c>
      <c r="I11" s="4" t="n">
        <v>15.79</v>
      </c>
      <c r="J11" s="4">
        <f>H11-I11</f>
        <v/>
      </c>
      <c r="K11" s="3" t="inlineStr">
        <is>
          <t>Б</t>
        </is>
      </c>
    </row>
    <row r="12">
      <c r="A12" s="3" t="n">
        <v>8</v>
      </c>
      <c r="B12" s="3" t="inlineStr">
        <is>
          <t>Блок Б 06.04</t>
        </is>
      </c>
      <c r="C12" s="3" t="n">
        <v>4</v>
      </c>
      <c r="D12" s="3" t="inlineStr">
        <is>
          <t>Вн-15</t>
        </is>
      </c>
      <c r="E12" s="3" t="n">
        <v>1250</v>
      </c>
      <c r="F12" s="3" t="n">
        <v>4800</v>
      </c>
      <c r="G12" s="3" t="n">
        <v>1</v>
      </c>
      <c r="H12" s="4">
        <f>ROUND(E12*F12*G12/1000000,2)</f>
        <v/>
      </c>
      <c r="I12" s="4" t="n">
        <v>2.83</v>
      </c>
      <c r="J12" s="4">
        <f>H12-I12</f>
        <v/>
      </c>
      <c r="K12" s="3" t="inlineStr">
        <is>
          <t>Б</t>
        </is>
      </c>
    </row>
    <row r="13">
      <c r="A13" s="3" t="n">
        <v>9</v>
      </c>
      <c r="B13" s="3" t="inlineStr">
        <is>
          <t>Блок Б 06.04</t>
        </is>
      </c>
      <c r="C13" s="3" t="n">
        <v>5</v>
      </c>
      <c r="D13" s="3" t="inlineStr">
        <is>
          <t>Вн-18</t>
        </is>
      </c>
      <c r="E13" s="3" t="n">
        <v>2480</v>
      </c>
      <c r="F13" s="3" t="n">
        <v>4800</v>
      </c>
      <c r="G13" s="3" t="n">
        <v>1</v>
      </c>
      <c r="H13" s="4">
        <f>ROUND(E13*F13*G13/1000000,2)</f>
        <v/>
      </c>
      <c r="I13" s="4" t="n">
        <v>8.300000000000001</v>
      </c>
      <c r="J13" s="4">
        <f>H13-I13</f>
        <v/>
      </c>
      <c r="K13" s="3" t="inlineStr">
        <is>
          <t>Б</t>
        </is>
      </c>
    </row>
    <row r="14">
      <c r="A14" s="3" t="n">
        <v>10</v>
      </c>
      <c r="B14" s="3" t="inlineStr">
        <is>
          <t>Блок Б 06.04</t>
        </is>
      </c>
      <c r="C14" s="3" t="n">
        <v>6</v>
      </c>
      <c r="D14" s="3" t="inlineStr">
        <is>
          <t>Вн-6</t>
        </is>
      </c>
      <c r="E14" s="3" t="n">
        <v>4080</v>
      </c>
      <c r="F14" s="3" t="n">
        <v>4800</v>
      </c>
      <c r="G14" s="3" t="n">
        <v>1</v>
      </c>
      <c r="H14" s="4">
        <f>ROUND(E14*F14*G14/1000000,2)</f>
        <v/>
      </c>
      <c r="I14" s="4" t="n">
        <v>15.88</v>
      </c>
      <c r="J14" s="4">
        <f>H14-I14</f>
        <v/>
      </c>
      <c r="K14" s="3" t="inlineStr">
        <is>
          <t>Б</t>
        </is>
      </c>
    </row>
    <row r="15">
      <c r="A15" s="3" t="n">
        <v>11</v>
      </c>
      <c r="B15" s="3" t="inlineStr">
        <is>
          <t>КП без шапки 06.04 (лит. Д)</t>
        </is>
      </c>
      <c r="C15" s="3" t="n">
        <v>1</v>
      </c>
      <c r="D15" s="3" t="inlineStr">
        <is>
          <t>Вн-10</t>
        </is>
      </c>
      <c r="E15" s="3" t="n">
        <v>4200</v>
      </c>
      <c r="F15" s="3" t="n">
        <v>4800</v>
      </c>
      <c r="G15" s="3" t="n">
        <v>1</v>
      </c>
      <c r="H15" s="4">
        <f>ROUND(E15*F15*G15/1000000,2)</f>
        <v/>
      </c>
      <c r="I15" s="4" t="n">
        <v>16.45</v>
      </c>
      <c r="J15" s="4">
        <f>H15-I15</f>
        <v/>
      </c>
      <c r="K15" s="3" t="inlineStr">
        <is>
          <t>не вошло</t>
        </is>
      </c>
    </row>
    <row r="16">
      <c r="A16" s="3" t="n">
        <v>12</v>
      </c>
      <c r="B16" s="3" t="inlineStr">
        <is>
          <t>КП без шапки 06.04 (лит. Д)</t>
        </is>
      </c>
      <c r="C16" s="3" t="n">
        <v>2</v>
      </c>
      <c r="D16" s="3" t="inlineStr">
        <is>
          <t>Вн-9</t>
        </is>
      </c>
      <c r="E16" s="3" t="n">
        <v>4100</v>
      </c>
      <c r="F16" s="3" t="n">
        <v>4800</v>
      </c>
      <c r="G16" s="3" t="n">
        <v>1</v>
      </c>
      <c r="H16" s="4">
        <f>ROUND(E16*F16*G16/1000000,2)</f>
        <v/>
      </c>
      <c r="I16" s="4" t="n">
        <v>15.98</v>
      </c>
      <c r="J16" s="4">
        <f>H16-I16</f>
        <v/>
      </c>
      <c r="K16" s="3" t="inlineStr">
        <is>
          <t>Д</t>
        </is>
      </c>
    </row>
    <row r="17">
      <c r="A17" s="3" t="n">
        <v>13</v>
      </c>
      <c r="B17" s="3" t="inlineStr">
        <is>
          <t>КП без шапки 06.04 (лит. Д)</t>
        </is>
      </c>
      <c r="C17" s="3" t="n">
        <v>3</v>
      </c>
      <c r="D17" s="3" t="inlineStr">
        <is>
          <t>Вн-17</t>
        </is>
      </c>
      <c r="E17" s="3" t="n">
        <v>3780</v>
      </c>
      <c r="F17" s="3" t="n">
        <v>4800</v>
      </c>
      <c r="G17" s="3" t="n">
        <v>1</v>
      </c>
      <c r="H17" s="4">
        <f>ROUND(E17*F17*G17/1000000,2)</f>
        <v/>
      </c>
      <c r="I17" s="4" t="n">
        <v>17.77</v>
      </c>
      <c r="J17" s="4">
        <f>H17-I17</f>
        <v/>
      </c>
      <c r="K17" s="3" t="inlineStr">
        <is>
          <t>Д</t>
        </is>
      </c>
    </row>
    <row r="18">
      <c r="A18" s="3" t="n">
        <v>14</v>
      </c>
      <c r="B18" s="3" t="inlineStr">
        <is>
          <t>КП без шапки 06.04 (лит. Д)</t>
        </is>
      </c>
      <c r="C18" s="3" t="n">
        <v>4</v>
      </c>
      <c r="D18" s="3" t="inlineStr">
        <is>
          <t>Вн-6</t>
        </is>
      </c>
      <c r="E18" s="3" t="n">
        <v>4140</v>
      </c>
      <c r="F18" s="3" t="n">
        <v>4800</v>
      </c>
      <c r="G18" s="3" t="n">
        <v>1</v>
      </c>
      <c r="H18" s="4">
        <f>ROUND(E18*F18*G18/1000000,2)</f>
        <v/>
      </c>
      <c r="I18" s="4" t="n">
        <v>16.16</v>
      </c>
      <c r="J18" s="4">
        <f>H18-I18</f>
        <v/>
      </c>
      <c r="K18" s="3" t="inlineStr">
        <is>
          <t>Д</t>
        </is>
      </c>
    </row>
    <row r="19">
      <c r="A19" s="3" t="n">
        <v>15</v>
      </c>
      <c r="B19" s="3" t="inlineStr">
        <is>
          <t>КП без шапки 06.04 (лит. Д)</t>
        </is>
      </c>
      <c r="C19" s="3" t="n">
        <v>5</v>
      </c>
      <c r="D19" s="3" t="inlineStr">
        <is>
          <t>Вн-7</t>
        </is>
      </c>
      <c r="E19" s="3" t="n">
        <v>4160</v>
      </c>
      <c r="F19" s="3" t="n">
        <v>4800</v>
      </c>
      <c r="G19" s="3" t="n">
        <v>1</v>
      </c>
      <c r="H19" s="4">
        <f>ROUND(E19*F19*G19/1000000,2)</f>
        <v/>
      </c>
      <c r="I19" s="4" t="n">
        <v>19.55</v>
      </c>
      <c r="J19" s="4">
        <f>H19-I19</f>
        <v/>
      </c>
      <c r="K19" s="3" t="inlineStr">
        <is>
          <t>Д</t>
        </is>
      </c>
    </row>
    <row r="20">
      <c r="A20" s="3" t="n">
        <v>16</v>
      </c>
      <c r="B20" s="3" t="inlineStr">
        <is>
          <t>КП без шапки 06.04 (лит. Д)</t>
        </is>
      </c>
      <c r="C20" s="3" t="n">
        <v>6</v>
      </c>
      <c r="D20" s="3" t="inlineStr">
        <is>
          <t>Вн-6</t>
        </is>
      </c>
      <c r="E20" s="3" t="n">
        <v>4190</v>
      </c>
      <c r="F20" s="3" t="n">
        <v>4800</v>
      </c>
      <c r="G20" s="3" t="n">
        <v>1</v>
      </c>
      <c r="H20" s="4">
        <f>ROUND(E20*F20*G20/1000000,2)</f>
        <v/>
      </c>
      <c r="I20" s="4" t="n">
        <v>16.4</v>
      </c>
      <c r="J20" s="4">
        <f>H20-I20</f>
        <v/>
      </c>
      <c r="K20" s="3" t="inlineStr">
        <is>
          <t>Д</t>
        </is>
      </c>
    </row>
    <row r="21">
      <c r="A21" s="3" t="n">
        <v>17</v>
      </c>
      <c r="B21" s="3" t="inlineStr">
        <is>
          <t>Блок В 06.04 (1)</t>
        </is>
      </c>
      <c r="C21" s="3" t="n">
        <v>1</v>
      </c>
      <c r="D21" s="3" t="inlineStr">
        <is>
          <t>Вн-16</t>
        </is>
      </c>
      <c r="E21" s="3" t="n">
        <v>1370</v>
      </c>
      <c r="F21" s="3" t="n">
        <v>5200</v>
      </c>
      <c r="G21" s="3" t="n">
        <v>1</v>
      </c>
      <c r="H21" s="4">
        <f>ROUND(E21*F21*G21/1000000,2)</f>
        <v/>
      </c>
      <c r="I21" s="4" t="n">
        <v>3.1</v>
      </c>
      <c r="J21" s="4">
        <f>H21-I21</f>
        <v/>
      </c>
      <c r="K21" s="3" t="inlineStr">
        <is>
          <t>В</t>
        </is>
      </c>
    </row>
    <row r="22">
      <c r="A22" s="3" t="n">
        <v>18</v>
      </c>
      <c r="B22" s="3" t="inlineStr">
        <is>
          <t>Блок В 06.04 (1)</t>
        </is>
      </c>
      <c r="C22" s="3" t="n">
        <v>2</v>
      </c>
      <c r="D22" s="3" t="inlineStr">
        <is>
          <t>Вн-16</t>
        </is>
      </c>
      <c r="E22" s="3" t="n">
        <v>1060</v>
      </c>
      <c r="F22" s="3" t="n">
        <v>5180</v>
      </c>
      <c r="G22" s="3" t="n">
        <v>1</v>
      </c>
      <c r="H22" s="4">
        <f>ROUND(E22*F22*G22/1000000,2)</f>
        <v/>
      </c>
      <c r="I22" s="4" t="n">
        <v>2.4</v>
      </c>
      <c r="J22" s="4">
        <f>H22-I22</f>
        <v/>
      </c>
      <c r="K22" s="3" t="inlineStr">
        <is>
          <t>В</t>
        </is>
      </c>
    </row>
    <row r="23">
      <c r="A23" s="3" t="n">
        <v>19</v>
      </c>
      <c r="B23" s="3" t="inlineStr">
        <is>
          <t>Блок В 06.04 (2)</t>
        </is>
      </c>
      <c r="C23" s="3" t="n">
        <v>1</v>
      </c>
      <c r="D23" s="3" t="inlineStr">
        <is>
          <t>Вн-6</t>
        </is>
      </c>
      <c r="E23" s="3" t="n">
        <v>4090</v>
      </c>
      <c r="F23" s="3" t="n">
        <v>4800</v>
      </c>
      <c r="G23" s="3" t="n">
        <v>1</v>
      </c>
      <c r="H23" s="4">
        <f>ROUND(E23*F23*G23/1000000,2)</f>
        <v/>
      </c>
      <c r="I23" s="4" t="n">
        <v>15.93</v>
      </c>
      <c r="J23" s="4">
        <f>H23-I23</f>
        <v/>
      </c>
      <c r="K23" s="3" t="inlineStr">
        <is>
          <t>В</t>
        </is>
      </c>
    </row>
    <row r="24">
      <c r="A24" s="3" t="n">
        <v>20</v>
      </c>
      <c r="B24" s="3" t="inlineStr">
        <is>
          <t>Блок В 06.04 (2)</t>
        </is>
      </c>
      <c r="C24" s="3" t="n">
        <v>2</v>
      </c>
      <c r="D24" s="3" t="inlineStr">
        <is>
          <t>Вн-17</t>
        </is>
      </c>
      <c r="E24" s="3" t="n">
        <v>4100</v>
      </c>
      <c r="F24" s="3" t="n">
        <v>4800</v>
      </c>
      <c r="G24" s="3" t="n">
        <v>1</v>
      </c>
      <c r="H24" s="4">
        <f>ROUND(E24*F24*G24/1000000,2)</f>
        <v/>
      </c>
      <c r="I24" s="4" t="n">
        <v>19.27</v>
      </c>
      <c r="J24" s="4">
        <f>H24-I24</f>
        <v/>
      </c>
      <c r="K24" s="3" t="inlineStr">
        <is>
          <t>В</t>
        </is>
      </c>
    </row>
    <row r="25">
      <c r="A25" s="3" t="n">
        <v>21</v>
      </c>
      <c r="B25" s="3" t="inlineStr">
        <is>
          <t>Блок В 06.04 (2)</t>
        </is>
      </c>
      <c r="C25" s="3" t="n">
        <v>3</v>
      </c>
      <c r="D25" s="3" t="inlineStr">
        <is>
          <t>Вн-16</t>
        </is>
      </c>
      <c r="E25" s="3" t="n">
        <v>1240</v>
      </c>
      <c r="F25" s="3" t="n">
        <v>4800</v>
      </c>
      <c r="G25" s="3" t="n">
        <v>1</v>
      </c>
      <c r="H25" s="4">
        <f>ROUND(E25*F25*G25/1000000,2)</f>
        <v/>
      </c>
      <c r="I25" s="4" t="n">
        <v>2.8</v>
      </c>
      <c r="J25" s="4">
        <f>H25-I25</f>
        <v/>
      </c>
      <c r="K25" s="3" t="inlineStr">
        <is>
          <t>В</t>
        </is>
      </c>
    </row>
    <row r="26">
      <c r="A26" s="3" t="n">
        <v>22</v>
      </c>
      <c r="B26" s="3" t="inlineStr">
        <is>
          <t>Блок В 06.04 (2)</t>
        </is>
      </c>
      <c r="C26" s="3" t="n">
        <v>4</v>
      </c>
      <c r="D26" s="3" t="inlineStr">
        <is>
          <t>Вн-19</t>
        </is>
      </c>
      <c r="E26" s="3" t="n">
        <v>2570</v>
      </c>
      <c r="F26" s="3" t="n">
        <v>4800</v>
      </c>
      <c r="G26" s="3" t="n">
        <v>2</v>
      </c>
      <c r="H26" s="4">
        <f>ROUND(E26*F26*G26/1000000,2)</f>
        <v/>
      </c>
      <c r="I26" s="4" t="n">
        <v>17.44</v>
      </c>
      <c r="J26" s="4">
        <f>H26-I26</f>
        <v/>
      </c>
      <c r="K26" s="3" t="inlineStr">
        <is>
          <t>В</t>
        </is>
      </c>
    </row>
    <row r="27">
      <c r="A27" s="3" t="n">
        <v>23</v>
      </c>
      <c r="B27" s="3" t="inlineStr">
        <is>
          <t>Вн-22 06.04</t>
        </is>
      </c>
      <c r="C27" s="3" t="n">
        <v>1</v>
      </c>
      <c r="D27" s="3" t="inlineStr">
        <is>
          <t>Вн-22</t>
        </is>
      </c>
      <c r="E27" s="3" t="n">
        <v>2070</v>
      </c>
      <c r="F27" s="3" t="n">
        <v>2760</v>
      </c>
      <c r="G27" s="3" t="n">
        <v>5</v>
      </c>
      <c r="H27" s="4">
        <f>ROUND(E27*F27*G27/1000000,2)</f>
        <v/>
      </c>
      <c r="I27" s="4" t="n">
        <v>13.05</v>
      </c>
      <c r="J27" s="4">
        <f>H27-I27</f>
        <v/>
      </c>
      <c r="K27" s="3" t="inlineStr">
        <is>
          <t>А</t>
        </is>
      </c>
    </row>
    <row r="28">
      <c r="A28" s="3" t="n">
        <v>24</v>
      </c>
      <c r="B28" s="3" t="inlineStr">
        <is>
          <t>Вн-22 06.04</t>
        </is>
      </c>
      <c r="C28" s="3" t="n">
        <v>1</v>
      </c>
      <c r="D28" s="3" t="inlineStr">
        <is>
          <t>Вн-22</t>
        </is>
      </c>
      <c r="E28" s="3" t="n">
        <v>2070</v>
      </c>
      <c r="F28" s="3" t="n">
        <v>2760</v>
      </c>
      <c r="G28" s="3" t="n">
        <v>5</v>
      </c>
      <c r="H28" s="4">
        <f>ROUND(E28*F28*G28/1000000,2)</f>
        <v/>
      </c>
      <c r="I28" s="4" t="n">
        <v>13.05</v>
      </c>
      <c r="J28" s="4">
        <f>H28-I28</f>
        <v/>
      </c>
      <c r="K28" s="3" t="inlineStr">
        <is>
          <t>Б</t>
        </is>
      </c>
    </row>
    <row r="29">
      <c r="A29" s="3" t="n">
        <v>25</v>
      </c>
      <c r="B29" s="3" t="inlineStr">
        <is>
          <t>Вн-22 06.04</t>
        </is>
      </c>
      <c r="C29" s="3" t="n">
        <v>1</v>
      </c>
      <c r="D29" s="3" t="inlineStr">
        <is>
          <t>Вн-22</t>
        </is>
      </c>
      <c r="E29" s="3" t="n">
        <v>2070</v>
      </c>
      <c r="F29" s="3" t="n">
        <v>2760</v>
      </c>
      <c r="G29" s="3" t="n">
        <v>1</v>
      </c>
      <c r="H29" s="4">
        <f>ROUND(E29*F29*G29/1000000,2)</f>
        <v/>
      </c>
      <c r="I29" s="4" t="n">
        <v>2.61</v>
      </c>
      <c r="J29" s="4">
        <f>H29-I29</f>
        <v/>
      </c>
      <c r="K29" s="3" t="inlineStr">
        <is>
          <t>В</t>
        </is>
      </c>
    </row>
    <row r="30">
      <c r="A30" s="3" t="n">
        <v>26</v>
      </c>
      <c r="B30" s="3" t="inlineStr">
        <is>
          <t>Режиссёр 1-18 25.09</t>
        </is>
      </c>
      <c r="C30" s="3" t="n">
        <v>1</v>
      </c>
      <c r="D30" s="3" t="inlineStr">
        <is>
          <t>Вн-19</t>
        </is>
      </c>
      <c r="E30" s="3" t="n">
        <v>2860</v>
      </c>
      <c r="F30" s="3" t="n">
        <v>4800</v>
      </c>
      <c r="G30" s="3" t="n">
        <v>1</v>
      </c>
      <c r="H30" s="4">
        <f>ROUND(E30*F30*G30/1000000,2)</f>
        <v/>
      </c>
      <c r="I30" s="4" t="n">
        <v>10.09</v>
      </c>
      <c r="J30" s="4">
        <f>H30-I30</f>
        <v/>
      </c>
      <c r="K30" s="3" t="inlineStr">
        <is>
          <t>не вошло</t>
        </is>
      </c>
    </row>
    <row r="31">
      <c r="A31" s="3" t="n">
        <v>27</v>
      </c>
      <c r="B31" s="3" t="inlineStr">
        <is>
          <t>Режиссёр 1-18 25.09</t>
        </is>
      </c>
      <c r="C31" s="3" t="n">
        <v>2</v>
      </c>
      <c r="D31" s="3" t="inlineStr">
        <is>
          <t>Вн-19</t>
        </is>
      </c>
      <c r="E31" s="3" t="n">
        <v>2920</v>
      </c>
      <c r="F31" s="3" t="n">
        <v>4800</v>
      </c>
      <c r="G31" s="3" t="n">
        <v>1</v>
      </c>
      <c r="H31" s="4">
        <f>ROUND(E31*F31*G31/1000000,2)</f>
        <v/>
      </c>
      <c r="I31" s="4" t="n">
        <v>10.37</v>
      </c>
      <c r="J31" s="4">
        <f>H31-I31</f>
        <v/>
      </c>
      <c r="K31" s="3" t="inlineStr">
        <is>
          <t>не вошло</t>
        </is>
      </c>
    </row>
    <row r="32">
      <c r="A32" s="3" t="n">
        <v>28</v>
      </c>
      <c r="B32" s="3" t="inlineStr">
        <is>
          <t>Режиссёр 1-18 25.09</t>
        </is>
      </c>
      <c r="C32" s="3" t="n">
        <v>3</v>
      </c>
      <c r="D32" s="3" t="inlineStr">
        <is>
          <t>Вн-13</t>
        </is>
      </c>
      <c r="E32" s="3" t="n">
        <v>3070</v>
      </c>
      <c r="F32" s="3" t="n">
        <v>4800</v>
      </c>
      <c r="G32" s="3" t="n">
        <v>1</v>
      </c>
      <c r="H32" s="4">
        <f>ROUND(E32*F32*G32/1000000,2)</f>
        <v/>
      </c>
      <c r="I32" s="4" t="n">
        <v>14.43</v>
      </c>
      <c r="J32" s="4">
        <f>H32-I32</f>
        <v/>
      </c>
      <c r="K32" s="3" t="inlineStr">
        <is>
          <t>В</t>
        </is>
      </c>
    </row>
    <row r="33">
      <c r="A33" s="3" t="n">
        <v>29</v>
      </c>
      <c r="B33" s="3" t="inlineStr">
        <is>
          <t>Режиссёр 1-18 25.09</t>
        </is>
      </c>
      <c r="C33" s="3" t="n">
        <v>4</v>
      </c>
      <c r="D33" s="3" t="inlineStr">
        <is>
          <t>Вн-16</t>
        </is>
      </c>
      <c r="E33" s="3" t="n">
        <v>1320</v>
      </c>
      <c r="F33" s="3" t="n">
        <v>4800</v>
      </c>
      <c r="G33" s="3" t="n">
        <v>1</v>
      </c>
      <c r="H33" s="4">
        <f>ROUND(E33*F33*G33/1000000,2)</f>
        <v/>
      </c>
      <c r="I33" s="4" t="n">
        <v>2.98</v>
      </c>
      <c r="J33" s="4">
        <f>H33-I33</f>
        <v/>
      </c>
      <c r="K33" s="3" t="inlineStr">
        <is>
          <t>не вошло</t>
        </is>
      </c>
    </row>
    <row r="34">
      <c r="A34" s="3" t="n">
        <v>30</v>
      </c>
      <c r="B34" s="3" t="inlineStr">
        <is>
          <t>Режиссёр 1-18 25.09</t>
        </is>
      </c>
      <c r="C34" s="3" t="n">
        <v>5</v>
      </c>
      <c r="D34" s="3" t="inlineStr">
        <is>
          <t>Вн-16</t>
        </is>
      </c>
      <c r="E34" s="3" t="n">
        <v>1020</v>
      </c>
      <c r="F34" s="3" t="n">
        <v>4800</v>
      </c>
      <c r="G34" s="3" t="n">
        <v>1</v>
      </c>
      <c r="H34" s="4">
        <f>ROUND(E34*F34*G34/1000000,2)</f>
        <v/>
      </c>
      <c r="I34" s="4" t="n">
        <v>2.31</v>
      </c>
      <c r="J34" s="4">
        <f>H34-I34</f>
        <v/>
      </c>
      <c r="K34" s="3" t="inlineStr">
        <is>
          <t>не вошло</t>
        </is>
      </c>
    </row>
    <row r="35">
      <c r="A35" s="3" t="n">
        <v>31</v>
      </c>
      <c r="B35" s="3" t="inlineStr">
        <is>
          <t>Режиссёр 1-18 25.09</t>
        </is>
      </c>
      <c r="C35" s="3" t="n">
        <v>6</v>
      </c>
      <c r="D35" s="3" t="inlineStr">
        <is>
          <t>Вн-6</t>
        </is>
      </c>
      <c r="E35" s="3" t="n">
        <v>4130</v>
      </c>
      <c r="F35" s="3" t="n">
        <v>4800</v>
      </c>
      <c r="G35" s="3" t="n">
        <v>1</v>
      </c>
      <c r="H35" s="4">
        <f>ROUND(E35*F35*G35/1000000,2)</f>
        <v/>
      </c>
      <c r="I35" s="4" t="n">
        <v>16.12</v>
      </c>
      <c r="J35" s="4">
        <f>H35-I35</f>
        <v/>
      </c>
      <c r="K35" s="3" t="inlineStr">
        <is>
          <t>Г (перенос из А)</t>
        </is>
      </c>
    </row>
    <row r="36">
      <c r="A36" s="3" t="n">
        <v>32</v>
      </c>
      <c r="B36" s="3" t="inlineStr">
        <is>
          <t>Режиссёр 1-18 25.09</t>
        </is>
      </c>
      <c r="C36" s="3" t="n">
        <v>7</v>
      </c>
      <c r="D36" s="3" t="inlineStr">
        <is>
          <t>Вн-17</t>
        </is>
      </c>
      <c r="E36" s="3" t="n">
        <v>4130</v>
      </c>
      <c r="F36" s="3" t="n">
        <v>4800</v>
      </c>
      <c r="G36" s="3" t="n">
        <v>1</v>
      </c>
      <c r="H36" s="4">
        <f>ROUND(E36*F36*G36/1000000,2)</f>
        <v/>
      </c>
      <c r="I36" s="4" t="n">
        <v>19.41</v>
      </c>
      <c r="J36" s="4">
        <f>H36-I36</f>
        <v/>
      </c>
      <c r="K36" s="3" t="inlineStr">
        <is>
          <t>Г</t>
        </is>
      </c>
    </row>
    <row r="37">
      <c r="A37" s="3" t="n">
        <v>33</v>
      </c>
      <c r="B37" s="3" t="inlineStr">
        <is>
          <t>Режиссёр 1-18 25.09</t>
        </is>
      </c>
      <c r="C37" s="3" t="n">
        <v>8</v>
      </c>
      <c r="D37" s="3" t="inlineStr">
        <is>
          <t>Вн-6</t>
        </is>
      </c>
      <c r="E37" s="3" t="n">
        <v>4450</v>
      </c>
      <c r="F37" s="3" t="n">
        <v>4800</v>
      </c>
      <c r="G37" s="3" t="n">
        <v>1</v>
      </c>
      <c r="H37" s="4">
        <f>ROUND(E37*F37*G37/1000000,2)</f>
        <v/>
      </c>
      <c r="I37" s="4" t="n">
        <v>17.62</v>
      </c>
      <c r="J37" s="4">
        <f>H37-I37</f>
        <v/>
      </c>
      <c r="K37" s="3" t="inlineStr">
        <is>
          <t>Г (перенос из Б)</t>
        </is>
      </c>
    </row>
    <row r="38">
      <c r="A38" s="3" t="n">
        <v>34</v>
      </c>
      <c r="B38" s="3" t="inlineStr">
        <is>
          <t>Режиссёр 1-18 25.09</t>
        </is>
      </c>
      <c r="C38" s="3" t="n">
        <v>9</v>
      </c>
      <c r="D38" s="3" t="inlineStr">
        <is>
          <t>Вн-17</t>
        </is>
      </c>
      <c r="E38" s="3" t="n">
        <v>4020</v>
      </c>
      <c r="F38" s="3" t="n">
        <v>4800</v>
      </c>
      <c r="G38" s="3" t="n">
        <v>1</v>
      </c>
      <c r="H38" s="4">
        <f>ROUND(E38*F38*G38/1000000,2)</f>
        <v/>
      </c>
      <c r="I38" s="4" t="n">
        <v>18.89</v>
      </c>
      <c r="J38" s="4">
        <f>H38-I38</f>
        <v/>
      </c>
      <c r="K38" s="3" t="inlineStr">
        <is>
          <t>не вошло</t>
        </is>
      </c>
    </row>
    <row r="39">
      <c r="A39" s="3" t="n">
        <v>35</v>
      </c>
      <c r="B39" s="3" t="inlineStr">
        <is>
          <t>Режиссёр 1-18 25.09</t>
        </is>
      </c>
      <c r="C39" s="3" t="n">
        <v>10</v>
      </c>
      <c r="D39" s="3" t="inlineStr">
        <is>
          <t>Вн-21</t>
        </is>
      </c>
      <c r="E39" s="3" t="n">
        <v>2920</v>
      </c>
      <c r="F39" s="3" t="n">
        <v>4800</v>
      </c>
      <c r="G39" s="3" t="n">
        <v>1</v>
      </c>
      <c r="H39" s="4">
        <f>ROUND(E39*F39*G39/1000000,2)</f>
        <v/>
      </c>
      <c r="I39" s="4" t="n">
        <v>13.72</v>
      </c>
      <c r="J39" s="4">
        <f>H39-I39</f>
        <v/>
      </c>
      <c r="K39" s="3" t="inlineStr">
        <is>
          <t>Г</t>
        </is>
      </c>
    </row>
    <row r="40">
      <c r="A40" s="3" t="n">
        <v>36</v>
      </c>
      <c r="B40" s="3" t="inlineStr">
        <is>
          <t>Режиссёр 1-18 25.09</t>
        </is>
      </c>
      <c r="C40" s="3" t="n">
        <v>11</v>
      </c>
      <c r="D40" s="3" t="inlineStr">
        <is>
          <t>Вн-6</t>
        </is>
      </c>
      <c r="E40" s="3" t="n">
        <v>4260</v>
      </c>
      <c r="F40" s="3" t="n">
        <v>4800</v>
      </c>
      <c r="G40" s="3" t="n">
        <v>1</v>
      </c>
      <c r="H40" s="4">
        <f>ROUND(E40*F40*G40/1000000,2)</f>
        <v/>
      </c>
      <c r="I40" s="4" t="n">
        <v>16.73</v>
      </c>
      <c r="J40" s="4">
        <f>H40-I40</f>
        <v/>
      </c>
      <c r="K40" s="3" t="inlineStr">
        <is>
          <t>Г</t>
        </is>
      </c>
    </row>
    <row r="41">
      <c r="A41" s="3" t="n">
        <v>37</v>
      </c>
      <c r="B41" s="3" t="inlineStr">
        <is>
          <t>Режиссёр 1-18 25.09</t>
        </is>
      </c>
      <c r="C41" s="3" t="n">
        <v>12</v>
      </c>
      <c r="D41" s="3" t="inlineStr">
        <is>
          <t>Вн-20</t>
        </is>
      </c>
      <c r="E41" s="3" t="n">
        <v>3840</v>
      </c>
      <c r="F41" s="3" t="n">
        <v>4800</v>
      </c>
      <c r="G41" s="3" t="n">
        <v>1</v>
      </c>
      <c r="H41" s="4">
        <f>ROUND(E41*F41*G41/1000000,2)</f>
        <v/>
      </c>
      <c r="I41" s="4" t="n">
        <v>18.05</v>
      </c>
      <c r="J41" s="4">
        <f>H41-I41</f>
        <v/>
      </c>
      <c r="K41" s="3" t="inlineStr">
        <is>
          <t>Г</t>
        </is>
      </c>
    </row>
    <row r="42">
      <c r="A42" s="3" t="n">
        <v>38</v>
      </c>
      <c r="B42" s="3" t="inlineStr">
        <is>
          <t>Режиссёр 1-18 25.09</t>
        </is>
      </c>
      <c r="C42" s="3" t="n">
        <v>13</v>
      </c>
      <c r="D42" s="3" t="inlineStr">
        <is>
          <t>Вн-12</t>
        </is>
      </c>
      <c r="E42" s="3" t="n">
        <v>3250</v>
      </c>
      <c r="F42" s="3" t="n">
        <v>4800</v>
      </c>
      <c r="G42" s="3" t="n">
        <v>1</v>
      </c>
      <c r="H42" s="4">
        <f>ROUND(E42*F42*G42/1000000,2)</f>
        <v/>
      </c>
      <c r="I42" s="4" t="n">
        <v>11.92</v>
      </c>
      <c r="J42" s="4">
        <f>H42-I42</f>
        <v/>
      </c>
      <c r="K42" s="3" t="inlineStr">
        <is>
          <t>Г</t>
        </is>
      </c>
    </row>
    <row r="43">
      <c r="A43" s="3" t="n">
        <v>39</v>
      </c>
      <c r="B43" s="3" t="inlineStr">
        <is>
          <t>Режиссёр 1-18 25.09</t>
        </is>
      </c>
      <c r="C43" s="3" t="n">
        <v>14</v>
      </c>
      <c r="D43" s="3" t="inlineStr">
        <is>
          <t>Вн-11</t>
        </is>
      </c>
      <c r="E43" s="3" t="n">
        <v>2310</v>
      </c>
      <c r="F43" s="3" t="n">
        <v>4800</v>
      </c>
      <c r="G43" s="3" t="n">
        <v>1</v>
      </c>
      <c r="H43" s="4">
        <f>ROUND(E43*F43*G43/1000000,2)</f>
        <v/>
      </c>
      <c r="I43" s="4" t="n">
        <v>10.86</v>
      </c>
      <c r="J43" s="4">
        <f>H43-I43</f>
        <v/>
      </c>
      <c r="K43" s="3" t="inlineStr">
        <is>
          <t>Г</t>
        </is>
      </c>
    </row>
    <row r="44">
      <c r="A44" s="3" t="n">
        <v>40</v>
      </c>
      <c r="B44" s="3" t="inlineStr">
        <is>
          <t>Режиссёр 1-18 25.09</t>
        </is>
      </c>
      <c r="C44" s="3" t="n">
        <v>15</v>
      </c>
      <c r="D44" s="3" t="inlineStr">
        <is>
          <t>Вн-10</t>
        </is>
      </c>
      <c r="E44" s="3" t="n">
        <v>4160</v>
      </c>
      <c r="F44" s="3" t="n">
        <v>4800</v>
      </c>
      <c r="G44" s="3" t="n">
        <v>1</v>
      </c>
      <c r="H44" s="4">
        <f>ROUND(E44*F44*G44/1000000,2)</f>
        <v/>
      </c>
      <c r="I44" s="4" t="n">
        <v>16.26</v>
      </c>
      <c r="J44" s="4">
        <f>H44-I44</f>
        <v/>
      </c>
      <c r="K44" s="3" t="inlineStr">
        <is>
          <t>Г</t>
        </is>
      </c>
    </row>
    <row r="45">
      <c r="A45" s="3" t="n">
        <v>41</v>
      </c>
      <c r="B45" s="3" t="inlineStr">
        <is>
          <t>Режиссёр 1-18 25.09</t>
        </is>
      </c>
      <c r="C45" s="3" t="n">
        <v>16</v>
      </c>
      <c r="D45" s="3" t="inlineStr">
        <is>
          <t>Вн-9</t>
        </is>
      </c>
      <c r="E45" s="3" t="n">
        <v>4060</v>
      </c>
      <c r="F45" s="3" t="n">
        <v>4800</v>
      </c>
      <c r="G45" s="3" t="n">
        <v>1</v>
      </c>
      <c r="H45" s="4">
        <f>ROUND(E45*F45*G45/1000000,2)</f>
        <v/>
      </c>
      <c r="I45" s="4" t="n">
        <v>15.79</v>
      </c>
      <c r="J45" s="4">
        <f>H45-I45</f>
        <v/>
      </c>
      <c r="K45" s="3" t="inlineStr">
        <is>
          <t>не вошло</t>
        </is>
      </c>
    </row>
    <row r="46">
      <c r="A46" s="3" t="n">
        <v>42</v>
      </c>
      <c r="B46" s="3" t="inlineStr">
        <is>
          <t>Режиссёр 1-18 25.09</t>
        </is>
      </c>
      <c r="C46" s="3" t="n">
        <v>17</v>
      </c>
      <c r="D46" s="3" t="inlineStr">
        <is>
          <t>Вн-17</t>
        </is>
      </c>
      <c r="E46" s="3" t="n">
        <v>3750</v>
      </c>
      <c r="F46" s="3" t="n">
        <v>4800</v>
      </c>
      <c r="G46" s="3" t="n">
        <v>1</v>
      </c>
      <c r="H46" s="4">
        <f>ROUND(E46*F46*G46/1000000,2)</f>
        <v/>
      </c>
      <c r="I46" s="4" t="n">
        <v>17.62</v>
      </c>
      <c r="J46" s="4">
        <f>H46-I46</f>
        <v/>
      </c>
      <c r="K46" s="3" t="inlineStr">
        <is>
          <t>не вошло</t>
        </is>
      </c>
    </row>
    <row r="47">
      <c r="A47" s="3" t="n">
        <v>43</v>
      </c>
      <c r="B47" s="3" t="inlineStr">
        <is>
          <t>Режиссёр 1-18 25.09</t>
        </is>
      </c>
      <c r="C47" s="3" t="n">
        <v>18</v>
      </c>
      <c r="D47" s="3" t="inlineStr">
        <is>
          <t>Вн-6</t>
        </is>
      </c>
      <c r="E47" s="3" t="n">
        <v>4130</v>
      </c>
      <c r="F47" s="3" t="n">
        <v>4800</v>
      </c>
      <c r="G47" s="3" t="n">
        <v>1</v>
      </c>
      <c r="H47" s="4">
        <f>ROUND(E47*F47*G47/1000000,2)</f>
        <v/>
      </c>
      <c r="I47" s="4" t="n">
        <v>16.12</v>
      </c>
      <c r="J47" s="4">
        <f>H47-I47</f>
        <v/>
      </c>
      <c r="K47" s="3" t="inlineStr">
        <is>
          <t>не вошло</t>
        </is>
      </c>
    </row>
    <row r="48">
      <c r="A48" s="27" t="n"/>
      <c r="B48" s="8" t="inlineStr">
        <is>
          <t>ИТОГО</t>
        </is>
      </c>
      <c r="C48" s="27" t="n"/>
      <c r="D48" s="27" t="n"/>
      <c r="E48" s="27" t="n"/>
      <c r="F48" s="27" t="n"/>
      <c r="G48" s="8">
        <f>SUM(G5:G47)</f>
        <v/>
      </c>
      <c r="H48" s="28">
        <f>SUM(H5:H47)</f>
        <v/>
      </c>
      <c r="I48" s="28">
        <f>SUM(I5:I47)</f>
        <v/>
      </c>
      <c r="J48" s="28">
        <f>SUM(J5:J47)</f>
        <v/>
      </c>
      <c r="K48" s="27" t="n"/>
    </row>
    <row r="49">
      <c r="H49" s="29" t="n"/>
      <c r="I49" s="29" t="n"/>
      <c r="J49" s="29" t="n"/>
    </row>
    <row r="50">
      <c r="A50" s="24" t="inlineStr">
        <is>
          <t>2. Двери к витражам (КП от 13.04.2026) — в спецификацию не добавлены, для справки</t>
        </is>
      </c>
      <c r="H50" s="29" t="n"/>
      <c r="I50" s="29" t="n"/>
      <c r="J50" s="29" t="n"/>
    </row>
    <row r="51" ht="60" customHeight="1">
      <c r="A51" s="2" t="inlineStr">
        <is>
          <t>№</t>
        </is>
      </c>
      <c r="B51" s="2" t="inlineStr">
        <is>
          <t>КП</t>
        </is>
      </c>
      <c r="C51" s="2" t="inlineStr">
        <is>
          <t>Литер</t>
        </is>
      </c>
      <c r="D51" s="2" t="inlineStr">
        <is>
          <t>Марка</t>
        </is>
      </c>
      <c r="E51" s="2" t="inlineStr">
        <is>
          <t>Ширина, мм</t>
        </is>
      </c>
      <c r="F51" s="2" t="inlineStr">
        <is>
          <t>Высота, мм</t>
        </is>
      </c>
      <c r="G51" s="2" t="inlineStr">
        <is>
          <t>Кол-во, шт</t>
        </is>
      </c>
      <c r="H51" s="26" t="inlineStr">
        <is>
          <t>Площадь по размерам, м²</t>
        </is>
      </c>
      <c r="I51" s="26" t="inlineStr">
        <is>
          <t>Площадь в КП, м²</t>
        </is>
      </c>
      <c r="J51" s="29" t="n"/>
    </row>
    <row r="52">
      <c r="A52" s="3" t="n">
        <v>1</v>
      </c>
      <c r="B52" s="3" t="inlineStr">
        <is>
          <t>№9 А</t>
        </is>
      </c>
      <c r="C52" s="3" t="inlineStr">
        <is>
          <t>А</t>
        </is>
      </c>
      <c r="D52" s="3" t="inlineStr">
        <is>
          <t>Вн-6</t>
        </is>
      </c>
      <c r="E52" s="3" t="n">
        <v>1336</v>
      </c>
      <c r="F52" s="3" t="n">
        <v>2433</v>
      </c>
      <c r="G52" s="3" t="n">
        <v>3</v>
      </c>
      <c r="H52" s="4">
        <f>ROUND(E52*F52*G52/1000000,2)</f>
        <v/>
      </c>
      <c r="I52" s="4" t="n">
        <v>9.75</v>
      </c>
      <c r="J52" s="29" t="n"/>
    </row>
    <row r="53">
      <c r="A53" s="3" t="n">
        <v>2</v>
      </c>
      <c r="B53" s="3" t="inlineStr">
        <is>
          <t>№9 А</t>
        </is>
      </c>
      <c r="C53" s="3" t="inlineStr">
        <is>
          <t>А</t>
        </is>
      </c>
      <c r="D53" s="3" t="inlineStr">
        <is>
          <t>Вн-14</t>
        </is>
      </c>
      <c r="E53" s="3" t="n">
        <v>1336</v>
      </c>
      <c r="F53" s="3" t="n">
        <v>2433</v>
      </c>
      <c r="G53" s="3" t="n">
        <v>1</v>
      </c>
      <c r="H53" s="4">
        <f>ROUND(E53*F53*G53/1000000,2)</f>
        <v/>
      </c>
      <c r="I53" s="4" t="n">
        <v>3.25</v>
      </c>
      <c r="J53" s="29" t="n"/>
    </row>
    <row r="54">
      <c r="A54" s="3" t="n">
        <v>3</v>
      </c>
      <c r="B54" s="3" t="inlineStr">
        <is>
          <t>№9 А</t>
        </is>
      </c>
      <c r="C54" s="3" t="inlineStr">
        <is>
          <t>А</t>
        </is>
      </c>
      <c r="D54" s="3" t="inlineStr">
        <is>
          <t>Вн-15</t>
        </is>
      </c>
      <c r="E54" s="3" t="n">
        <v>1106</v>
      </c>
      <c r="F54" s="3" t="n">
        <v>2433</v>
      </c>
      <c r="G54" s="3" t="n">
        <v>1</v>
      </c>
      <c r="H54" s="4">
        <f>ROUND(E54*F54*G54/1000000,2)</f>
        <v/>
      </c>
      <c r="I54" s="4" t="n">
        <v>2.69</v>
      </c>
      <c r="J54" s="29" t="n"/>
    </row>
    <row r="55">
      <c r="A55" s="3" t="n">
        <v>4</v>
      </c>
      <c r="B55" s="3" t="inlineStr">
        <is>
          <t>№11 Б</t>
        </is>
      </c>
      <c r="C55" s="3" t="inlineStr">
        <is>
          <t>Б</t>
        </is>
      </c>
      <c r="D55" s="3" t="inlineStr">
        <is>
          <t>Вн-6</t>
        </is>
      </c>
      <c r="E55" s="3" t="n">
        <v>1336</v>
      </c>
      <c r="F55" s="3" t="n">
        <v>2433</v>
      </c>
      <c r="G55" s="3" t="n">
        <v>3</v>
      </c>
      <c r="H55" s="4">
        <f>ROUND(E55*F55*G55/1000000,2)</f>
        <v/>
      </c>
      <c r="I55" s="4" t="n">
        <v>9.75</v>
      </c>
      <c r="J55" s="29" t="n"/>
    </row>
    <row r="56">
      <c r="A56" s="3" t="n">
        <v>5</v>
      </c>
      <c r="B56" s="3" t="inlineStr">
        <is>
          <t>№11 Б</t>
        </is>
      </c>
      <c r="C56" s="3" t="inlineStr">
        <is>
          <t>Б</t>
        </is>
      </c>
      <c r="D56" s="3" t="inlineStr">
        <is>
          <t>Вн-18</t>
        </is>
      </c>
      <c r="E56" s="3" t="n">
        <v>1336</v>
      </c>
      <c r="F56" s="3" t="n">
        <v>2433</v>
      </c>
      <c r="G56" s="3" t="n">
        <v>1</v>
      </c>
      <c r="H56" s="4">
        <f>ROUND(E56*F56*G56/1000000,2)</f>
        <v/>
      </c>
      <c r="I56" s="4" t="n">
        <v>3.25</v>
      </c>
      <c r="J56" s="29" t="n"/>
    </row>
    <row r="57">
      <c r="A57" s="3" t="n">
        <v>6</v>
      </c>
      <c r="B57" s="3" t="inlineStr">
        <is>
          <t>№11 Б</t>
        </is>
      </c>
      <c r="C57" s="3" t="inlineStr">
        <is>
          <t>Б</t>
        </is>
      </c>
      <c r="D57" s="3" t="inlineStr">
        <is>
          <t>Вн-15</t>
        </is>
      </c>
      <c r="E57" s="3" t="n">
        <v>1186</v>
      </c>
      <c r="F57" s="3" t="n">
        <v>2433</v>
      </c>
      <c r="G57" s="3" t="n">
        <v>1</v>
      </c>
      <c r="H57" s="4">
        <f>ROUND(E57*F57*G57/1000000,2)</f>
        <v/>
      </c>
      <c r="I57" s="4" t="n">
        <v>2.89</v>
      </c>
      <c r="J57" s="29" t="n"/>
    </row>
    <row r="58">
      <c r="A58" s="3" t="n">
        <v>7</v>
      </c>
      <c r="B58" s="3" t="inlineStr">
        <is>
          <t>№14 (Д)</t>
        </is>
      </c>
      <c r="C58" s="3" t="inlineStr">
        <is>
          <t>Д</t>
        </is>
      </c>
      <c r="D58" s="3" t="inlineStr">
        <is>
          <t>Вн-10</t>
        </is>
      </c>
      <c r="E58" s="3" t="n">
        <v>1336</v>
      </c>
      <c r="F58" s="3" t="n">
        <v>2433</v>
      </c>
      <c r="G58" s="3" t="n">
        <v>1</v>
      </c>
      <c r="H58" s="4">
        <f>ROUND(E58*F58*G58/1000000,2)</f>
        <v/>
      </c>
      <c r="I58" s="4" t="n">
        <v>3.25</v>
      </c>
      <c r="J58" s="29" t="n"/>
    </row>
    <row r="59">
      <c r="A59" s="3" t="n">
        <v>8</v>
      </c>
      <c r="B59" s="3" t="inlineStr">
        <is>
          <t>№14 (Д)</t>
        </is>
      </c>
      <c r="C59" s="3" t="inlineStr">
        <is>
          <t>Д</t>
        </is>
      </c>
      <c r="D59" s="3" t="inlineStr">
        <is>
          <t>Вн-6</t>
        </is>
      </c>
      <c r="E59" s="3" t="n">
        <v>1336</v>
      </c>
      <c r="F59" s="3" t="n">
        <v>2433</v>
      </c>
      <c r="G59" s="3" t="n">
        <v>2</v>
      </c>
      <c r="H59" s="4">
        <f>ROUND(E59*F59*G59/1000000,2)</f>
        <v/>
      </c>
      <c r="I59" s="4" t="n">
        <v>6.5</v>
      </c>
      <c r="J59" s="29" t="n"/>
    </row>
    <row r="60">
      <c r="A60" s="3" t="n">
        <v>9</v>
      </c>
      <c r="B60" s="3" t="inlineStr">
        <is>
          <t>№14 (Д)</t>
        </is>
      </c>
      <c r="C60" s="3" t="inlineStr">
        <is>
          <t>Д</t>
        </is>
      </c>
      <c r="D60" s="3" t="inlineStr">
        <is>
          <t>Вн-9</t>
        </is>
      </c>
      <c r="E60" s="3" t="n">
        <v>1336</v>
      </c>
      <c r="F60" s="3" t="n">
        <v>2433</v>
      </c>
      <c r="G60" s="3" t="n">
        <v>1</v>
      </c>
      <c r="H60" s="4">
        <f>ROUND(E60*F60*G60/1000000,2)</f>
        <v/>
      </c>
      <c r="I60" s="4" t="n">
        <v>3.25</v>
      </c>
      <c r="J60" s="29" t="n"/>
    </row>
    <row r="61">
      <c r="A61" s="3" t="n">
        <v>10</v>
      </c>
      <c r="B61" s="3" t="inlineStr">
        <is>
          <t>№12 В</t>
        </is>
      </c>
      <c r="C61" s="3" t="inlineStr">
        <is>
          <t>В</t>
        </is>
      </c>
      <c r="D61" s="3" t="inlineStr">
        <is>
          <t>Вн-6</t>
        </is>
      </c>
      <c r="E61" s="3" t="n">
        <v>1336</v>
      </c>
      <c r="F61" s="3" t="n">
        <v>2433</v>
      </c>
      <c r="G61" s="3" t="n">
        <v>1</v>
      </c>
      <c r="H61" s="4">
        <f>ROUND(E61*F61*G61/1000000,2)</f>
        <v/>
      </c>
      <c r="I61" s="4" t="n">
        <v>3.25</v>
      </c>
      <c r="J61" s="29" t="n"/>
    </row>
    <row r="62">
      <c r="A62" s="3" t="n">
        <v>11</v>
      </c>
      <c r="B62" s="3" t="inlineStr">
        <is>
          <t>№12 В</t>
        </is>
      </c>
      <c r="C62" s="3" t="inlineStr">
        <is>
          <t>В</t>
        </is>
      </c>
      <c r="D62" s="3" t="inlineStr">
        <is>
          <t>Вн-19</t>
        </is>
      </c>
      <c r="E62" s="3" t="n">
        <v>1336</v>
      </c>
      <c r="F62" s="3" t="n">
        <v>2433</v>
      </c>
      <c r="G62" s="3" t="n">
        <v>2</v>
      </c>
      <c r="H62" s="4">
        <f>ROUND(E62*F62*G62/1000000,2)</f>
        <v/>
      </c>
      <c r="I62" s="4" t="n">
        <v>6.5</v>
      </c>
      <c r="J62" s="29" t="n"/>
    </row>
    <row r="63">
      <c r="A63" s="3" t="n">
        <v>12</v>
      </c>
      <c r="B63" s="3" t="inlineStr">
        <is>
          <t>№12 В</t>
        </is>
      </c>
      <c r="C63" s="3" t="inlineStr">
        <is>
          <t>В</t>
        </is>
      </c>
      <c r="D63" s="3" t="inlineStr">
        <is>
          <t>Вн-16</t>
        </is>
      </c>
      <c r="E63" s="3" t="n">
        <v>1176</v>
      </c>
      <c r="F63" s="3" t="n">
        <v>2433</v>
      </c>
      <c r="G63" s="3" t="n">
        <v>1</v>
      </c>
      <c r="H63" s="4">
        <f>ROUND(E63*F63*G63/1000000,2)</f>
        <v/>
      </c>
      <c r="I63" s="4" t="n">
        <v>2.86</v>
      </c>
      <c r="J63" s="29" t="n"/>
    </row>
    <row r="64">
      <c r="A64" s="3" t="n">
        <v>13</v>
      </c>
      <c r="B64" s="3" t="inlineStr">
        <is>
          <t>№15 Вн-22</t>
        </is>
      </c>
      <c r="C64" s="3" t="inlineStr">
        <is>
          <t>А, Б, В</t>
        </is>
      </c>
      <c r="D64" s="3" t="inlineStr">
        <is>
          <t>Вн-22</t>
        </is>
      </c>
      <c r="E64" s="3" t="n">
        <v>1336</v>
      </c>
      <c r="F64" s="3" t="n">
        <v>2193</v>
      </c>
      <c r="G64" s="3" t="n">
        <v>11</v>
      </c>
      <c r="H64" s="4">
        <f>ROUND(E64*F64*G64/1000000,2)</f>
        <v/>
      </c>
      <c r="I64" s="4" t="n">
        <v>32.23</v>
      </c>
      <c r="J64" s="29" t="n"/>
    </row>
    <row r="65">
      <c r="A65" s="27" t="n"/>
      <c r="B65" s="8" t="inlineStr">
        <is>
          <t>ИТОГО</t>
        </is>
      </c>
      <c r="C65" s="27" t="n"/>
      <c r="D65" s="27" t="n"/>
      <c r="E65" s="27" t="n"/>
      <c r="F65" s="27" t="n"/>
      <c r="G65" s="8">
        <f>SUM(G52:G64)</f>
        <v/>
      </c>
      <c r="H65" s="28">
        <f>SUM(H52:H64)</f>
        <v/>
      </c>
      <c r="I65" s="28">
        <f>SUM(I52:I64)</f>
        <v/>
      </c>
      <c r="J65" s="29" t="n"/>
    </row>
    <row r="66">
      <c r="H66" s="29" t="n"/>
      <c r="I66" s="29" t="n"/>
      <c r="J66" s="29" t="n"/>
    </row>
    <row r="67">
      <c r="A67" s="24" t="inlineStr">
        <is>
          <t>3. Что поправлено в спецификации</t>
        </is>
      </c>
      <c r="H67" s="29" t="n"/>
      <c r="I67" s="29" t="n"/>
      <c r="J67" s="29" t="n"/>
    </row>
    <row r="68" ht="60" customHeight="1">
      <c r="A68" s="2" t="inlineStr">
        <is>
          <t>№</t>
        </is>
      </c>
      <c r="B68" s="2" t="inlineStr">
        <is>
          <t>Литер</t>
        </is>
      </c>
      <c r="C68" s="2" t="inlineStr">
        <is>
          <t>Марка</t>
        </is>
      </c>
      <c r="D68" s="2" t="inlineStr">
        <is>
          <t>Было, м²</t>
        </is>
      </c>
      <c r="E68" s="2" t="inlineStr">
        <is>
          <t>Стало (по КП), м²</t>
        </is>
      </c>
      <c r="F68" s="2" t="inlineStr">
        <is>
          <t>Разница, м²</t>
        </is>
      </c>
      <c r="H68" s="29" t="n"/>
      <c r="I68" s="29" t="n"/>
      <c r="J68" s="29" t="n"/>
    </row>
    <row r="69">
      <c r="A69" s="3" t="n">
        <v>1</v>
      </c>
      <c r="B69" s="3" t="inlineStr">
        <is>
          <t>А</t>
        </is>
      </c>
      <c r="C69" s="3" t="inlineStr">
        <is>
          <t>Вн-6</t>
        </is>
      </c>
      <c r="D69" s="4" t="n">
        <v>59.68</v>
      </c>
      <c r="E69" s="4" t="n">
        <v>59.76</v>
      </c>
      <c r="F69" s="4">
        <f>ROUND(E69-D69,2)</f>
        <v/>
      </c>
      <c r="H69" s="29" t="n"/>
      <c r="I69" s="29" t="n"/>
      <c r="J69" s="29" t="n"/>
    </row>
    <row r="70">
      <c r="A70" s="3" t="n">
        <v>2</v>
      </c>
      <c r="B70" s="3" t="inlineStr">
        <is>
          <t>А</t>
        </is>
      </c>
      <c r="C70" s="3" t="inlineStr">
        <is>
          <t>Вн-8</t>
        </is>
      </c>
      <c r="D70" s="4" t="n">
        <v>12.34</v>
      </c>
      <c r="E70" s="4" t="n">
        <v>12.34</v>
      </c>
      <c r="F70" s="4">
        <f>ROUND(E70-D70,2)</f>
        <v/>
      </c>
      <c r="H70" s="29" t="n"/>
      <c r="I70" s="29" t="n"/>
      <c r="J70" s="29" t="n"/>
    </row>
    <row r="71">
      <c r="A71" s="3" t="n">
        <v>3</v>
      </c>
      <c r="B71" s="3" t="inlineStr">
        <is>
          <t>А</t>
        </is>
      </c>
      <c r="C71" s="3" t="inlineStr">
        <is>
          <t>Вн-14</t>
        </is>
      </c>
      <c r="D71" s="4" t="n">
        <v>11.14</v>
      </c>
      <c r="E71" s="4" t="n">
        <v>11.14</v>
      </c>
      <c r="F71" s="4">
        <f>ROUND(E71-D71,2)</f>
        <v/>
      </c>
      <c r="H71" s="29" t="n"/>
      <c r="I71" s="29" t="n"/>
      <c r="J71" s="29" t="n"/>
    </row>
    <row r="72">
      <c r="A72" s="3" t="n">
        <v>4</v>
      </c>
      <c r="B72" s="3" t="inlineStr">
        <is>
          <t>А</t>
        </is>
      </c>
      <c r="C72" s="3" t="inlineStr">
        <is>
          <t>Вн-15</t>
        </is>
      </c>
      <c r="D72" s="4" t="n">
        <v>5.62</v>
      </c>
      <c r="E72" s="4" t="n">
        <v>5.62</v>
      </c>
      <c r="F72" s="4">
        <f>ROUND(E72-D72,2)</f>
        <v/>
      </c>
      <c r="H72" s="29" t="n"/>
      <c r="I72" s="29" t="n"/>
      <c r="J72" s="29" t="n"/>
    </row>
    <row r="73">
      <c r="A73" s="3" t="n">
        <v>5</v>
      </c>
      <c r="B73" s="3" t="inlineStr">
        <is>
          <t>А</t>
        </is>
      </c>
      <c r="C73" s="3" t="inlineStr">
        <is>
          <t>Вн-22</t>
        </is>
      </c>
      <c r="D73" s="4" t="n">
        <v>28.57</v>
      </c>
      <c r="E73" s="4" t="n">
        <v>28.57</v>
      </c>
      <c r="F73" s="4">
        <f>ROUND(E73-D73,2)</f>
        <v/>
      </c>
      <c r="H73" s="29" t="n"/>
      <c r="I73" s="29" t="n"/>
      <c r="J73" s="29" t="n"/>
    </row>
    <row r="74">
      <c r="A74" s="3" t="n">
        <v>6</v>
      </c>
      <c r="B74" s="3" t="inlineStr">
        <is>
          <t>Б</t>
        </is>
      </c>
      <c r="C74" s="3" t="inlineStr">
        <is>
          <t>Вн-6</t>
        </is>
      </c>
      <c r="D74" s="4" t="n">
        <v>59.86</v>
      </c>
      <c r="E74" s="4" t="n">
        <v>58.46</v>
      </c>
      <c r="F74" s="4">
        <f>ROUND(E74-D74,2)</f>
        <v/>
      </c>
      <c r="H74" s="29" t="n"/>
      <c r="I74" s="29" t="n"/>
      <c r="J74" s="29" t="n"/>
    </row>
    <row r="75">
      <c r="A75" s="3" t="n">
        <v>7</v>
      </c>
      <c r="B75" s="3" t="inlineStr">
        <is>
          <t>Б</t>
        </is>
      </c>
      <c r="C75" s="3" t="inlineStr">
        <is>
          <t>Вн-15</t>
        </is>
      </c>
      <c r="D75" s="4" t="n">
        <v>6</v>
      </c>
      <c r="E75" s="4" t="n">
        <v>6</v>
      </c>
      <c r="F75" s="4">
        <f>ROUND(E75-D75,2)</f>
        <v/>
      </c>
      <c r="H75" s="29" t="n"/>
      <c r="I75" s="29" t="n"/>
      <c r="J75" s="29" t="n"/>
    </row>
    <row r="76">
      <c r="A76" s="3" t="n">
        <v>8</v>
      </c>
      <c r="B76" s="3" t="inlineStr">
        <is>
          <t>Б</t>
        </is>
      </c>
      <c r="C76" s="3" t="inlineStr">
        <is>
          <t>Вн-17</t>
        </is>
      </c>
      <c r="D76" s="4" t="n">
        <v>19.49</v>
      </c>
      <c r="E76" s="4" t="n">
        <v>19.49</v>
      </c>
      <c r="F76" s="4">
        <f>ROUND(E76-D76,2)</f>
        <v/>
      </c>
      <c r="H76" s="29" t="n"/>
      <c r="I76" s="29" t="n"/>
      <c r="J76" s="29" t="n"/>
    </row>
    <row r="77">
      <c r="A77" s="3" t="n">
        <v>9</v>
      </c>
      <c r="B77" s="3" t="inlineStr">
        <is>
          <t>Б</t>
        </is>
      </c>
      <c r="C77" s="3" t="inlineStr">
        <is>
          <t>Вн-18</t>
        </is>
      </c>
      <c r="D77" s="4" t="n">
        <v>11.9</v>
      </c>
      <c r="E77" s="4" t="n">
        <v>11.9</v>
      </c>
      <c r="F77" s="4">
        <f>ROUND(E77-D77,2)</f>
        <v/>
      </c>
      <c r="H77" s="29" t="n"/>
      <c r="I77" s="29" t="n"/>
      <c r="J77" s="29" t="n"/>
    </row>
    <row r="78">
      <c r="A78" s="3" t="n">
        <v>10</v>
      </c>
      <c r="B78" s="3" t="inlineStr">
        <is>
          <t>Б</t>
        </is>
      </c>
      <c r="C78" s="3" t="inlineStr">
        <is>
          <t>Вн-22</t>
        </is>
      </c>
      <c r="D78" s="4" t="n">
        <v>28.57</v>
      </c>
      <c r="E78" s="4" t="n">
        <v>28.57</v>
      </c>
      <c r="F78" s="4">
        <f>ROUND(E78-D78,2)</f>
        <v/>
      </c>
      <c r="H78" s="29" t="n"/>
      <c r="I78" s="29" t="n"/>
      <c r="J78" s="29" t="n"/>
    </row>
    <row r="79">
      <c r="A79" s="3" t="n">
        <v>11</v>
      </c>
      <c r="B79" s="3" t="inlineStr">
        <is>
          <t>В</t>
        </is>
      </c>
      <c r="C79" s="3" t="inlineStr">
        <is>
          <t>Вн-6</t>
        </is>
      </c>
      <c r="D79" s="4" t="n">
        <v>19.63</v>
      </c>
      <c r="E79" s="4" t="n">
        <v>19.63</v>
      </c>
      <c r="F79" s="4">
        <f>ROUND(E79-D79,2)</f>
        <v/>
      </c>
      <c r="H79" s="29" t="n"/>
      <c r="I79" s="29" t="n"/>
      <c r="J79" s="29" t="n"/>
    </row>
    <row r="80">
      <c r="A80" s="3" t="n">
        <v>12</v>
      </c>
      <c r="B80" s="3" t="inlineStr">
        <is>
          <t>В</t>
        </is>
      </c>
      <c r="C80" s="3" t="inlineStr">
        <is>
          <t>Вн-13</t>
        </is>
      </c>
      <c r="D80" s="4" t="n">
        <v>14.74</v>
      </c>
      <c r="E80" s="4" t="n">
        <v>14.74</v>
      </c>
      <c r="F80" s="4">
        <f>ROUND(E80-D80,2)</f>
        <v/>
      </c>
      <c r="H80" s="29" t="n"/>
      <c r="I80" s="29" t="n"/>
      <c r="J80" s="29" t="n"/>
    </row>
    <row r="81">
      <c r="A81" s="3" t="n">
        <v>13</v>
      </c>
      <c r="B81" s="3" t="inlineStr">
        <is>
          <t>В</t>
        </is>
      </c>
      <c r="C81" s="3" t="inlineStr">
        <is>
          <t>Вн-16</t>
        </is>
      </c>
      <c r="D81" s="4" t="n">
        <v>18.57</v>
      </c>
      <c r="E81" s="4" t="n">
        <v>18.57</v>
      </c>
      <c r="F81" s="4">
        <f>ROUND(E81-D81,2)</f>
        <v/>
      </c>
      <c r="H81" s="29" t="n"/>
      <c r="I81" s="29" t="n"/>
      <c r="J81" s="29" t="n"/>
    </row>
    <row r="82">
      <c r="A82" s="3" t="n">
        <v>14</v>
      </c>
      <c r="B82" s="3" t="inlineStr">
        <is>
          <t>В</t>
        </is>
      </c>
      <c r="C82" s="3" t="inlineStr">
        <is>
          <t>Вн-17</t>
        </is>
      </c>
      <c r="D82" s="4" t="n">
        <v>19.68</v>
      </c>
      <c r="E82" s="4" t="n">
        <v>19.68</v>
      </c>
      <c r="F82" s="4">
        <f>ROUND(E82-D82,2)</f>
        <v/>
      </c>
      <c r="H82" s="29" t="n"/>
      <c r="I82" s="29" t="n"/>
      <c r="J82" s="29" t="n"/>
    </row>
    <row r="83">
      <c r="A83" s="3" t="n">
        <v>15</v>
      </c>
      <c r="B83" s="3" t="inlineStr">
        <is>
          <t>В</t>
        </is>
      </c>
      <c r="C83" s="3" t="inlineStr">
        <is>
          <t>Вн-19</t>
        </is>
      </c>
      <c r="D83" s="4" t="n">
        <v>24.67</v>
      </c>
      <c r="E83" s="4" t="n">
        <v>24.67</v>
      </c>
      <c r="F83" s="4">
        <f>ROUND(E83-D83,2)</f>
        <v/>
      </c>
      <c r="H83" s="29" t="n"/>
      <c r="I83" s="29" t="n"/>
      <c r="J83" s="29" t="n"/>
    </row>
    <row r="84">
      <c r="A84" s="3" t="n">
        <v>16</v>
      </c>
      <c r="B84" s="3" t="inlineStr">
        <is>
          <t>В</t>
        </is>
      </c>
      <c r="C84" s="3" t="inlineStr">
        <is>
          <t>Вн-22</t>
        </is>
      </c>
      <c r="D84" s="4" t="n">
        <v>5.71</v>
      </c>
      <c r="E84" s="4" t="n">
        <v>5.71</v>
      </c>
      <c r="F84" s="4">
        <f>ROUND(E84-D84,2)</f>
        <v/>
      </c>
      <c r="H84" s="29" t="n"/>
      <c r="I84" s="29" t="n"/>
      <c r="J84" s="29" t="n"/>
    </row>
    <row r="85">
      <c r="A85" s="3" t="n">
        <v>17</v>
      </c>
      <c r="B85" s="3" t="inlineStr">
        <is>
          <t>Г</t>
        </is>
      </c>
      <c r="C85" s="3" t="inlineStr">
        <is>
          <t>Вн-6</t>
        </is>
      </c>
      <c r="D85" s="4" t="n">
        <v>60.31</v>
      </c>
      <c r="E85" s="4" t="n">
        <v>61.63</v>
      </c>
      <c r="F85" s="4">
        <f>ROUND(E85-D85,2)</f>
        <v/>
      </c>
      <c r="H85" s="29" t="n"/>
      <c r="I85" s="29" t="n"/>
      <c r="J85" s="29" t="n"/>
    </row>
    <row r="86">
      <c r="A86" s="3" t="n">
        <v>18</v>
      </c>
      <c r="B86" s="3" t="inlineStr">
        <is>
          <t>Г</t>
        </is>
      </c>
      <c r="C86" s="3" t="inlineStr">
        <is>
          <t>Вн-10</t>
        </is>
      </c>
      <c r="D86" s="4" t="n">
        <v>19.97</v>
      </c>
      <c r="E86" s="4" t="n">
        <v>19.97</v>
      </c>
      <c r="F86" s="4">
        <f>ROUND(E86-D86,2)</f>
        <v/>
      </c>
      <c r="H86" s="29" t="n"/>
      <c r="I86" s="29" t="n"/>
      <c r="J86" s="29" t="n"/>
    </row>
    <row r="87">
      <c r="A87" s="3" t="n">
        <v>19</v>
      </c>
      <c r="B87" s="3" t="inlineStr">
        <is>
          <t>Г</t>
        </is>
      </c>
      <c r="C87" s="3" t="inlineStr">
        <is>
          <t>Вн-11</t>
        </is>
      </c>
      <c r="D87" s="4" t="n">
        <v>11.09</v>
      </c>
      <c r="E87" s="4" t="n">
        <v>11.09</v>
      </c>
      <c r="F87" s="4">
        <f>ROUND(E87-D87,2)</f>
        <v/>
      </c>
      <c r="H87" s="29" t="n"/>
      <c r="I87" s="29" t="n"/>
      <c r="J87" s="29" t="n"/>
    </row>
    <row r="88">
      <c r="A88" s="3" t="n">
        <v>20</v>
      </c>
      <c r="B88" s="3" t="inlineStr">
        <is>
          <t>Г</t>
        </is>
      </c>
      <c r="C88" s="3" t="inlineStr">
        <is>
          <t>Вн-12</t>
        </is>
      </c>
      <c r="D88" s="4" t="n">
        <v>15.6</v>
      </c>
      <c r="E88" s="4" t="n">
        <v>15.6</v>
      </c>
      <c r="F88" s="4">
        <f>ROUND(E88-D88,2)</f>
        <v/>
      </c>
      <c r="H88" s="29" t="n"/>
      <c r="I88" s="29" t="n"/>
      <c r="J88" s="29" t="n"/>
    </row>
    <row r="89">
      <c r="A89" s="3" t="n">
        <v>21</v>
      </c>
      <c r="B89" s="3" t="inlineStr">
        <is>
          <t>Г</t>
        </is>
      </c>
      <c r="C89" s="3" t="inlineStr">
        <is>
          <t>Вн-17</t>
        </is>
      </c>
      <c r="D89" s="4" t="n">
        <v>19.82</v>
      </c>
      <c r="E89" s="4" t="n">
        <v>19.82</v>
      </c>
      <c r="F89" s="4">
        <f>ROUND(E89-D89,2)</f>
        <v/>
      </c>
      <c r="H89" s="29" t="n"/>
      <c r="I89" s="29" t="n"/>
      <c r="J89" s="29" t="n"/>
    </row>
    <row r="90">
      <c r="A90" s="3" t="n">
        <v>22</v>
      </c>
      <c r="B90" s="3" t="inlineStr">
        <is>
          <t>Г</t>
        </is>
      </c>
      <c r="C90" s="3" t="inlineStr">
        <is>
          <t>Вн-20</t>
        </is>
      </c>
      <c r="D90" s="4" t="n">
        <v>18.43</v>
      </c>
      <c r="E90" s="4" t="n">
        <v>18.43</v>
      </c>
      <c r="F90" s="4">
        <f>ROUND(E90-D90,2)</f>
        <v/>
      </c>
      <c r="H90" s="29" t="n"/>
      <c r="I90" s="29" t="n"/>
      <c r="J90" s="29" t="n"/>
    </row>
    <row r="91">
      <c r="A91" s="3" t="n">
        <v>23</v>
      </c>
      <c r="B91" s="3" t="inlineStr">
        <is>
          <t>Г</t>
        </is>
      </c>
      <c r="C91" s="3" t="inlineStr">
        <is>
          <t>Вн-21</t>
        </is>
      </c>
      <c r="D91" s="4" t="n">
        <v>14.02</v>
      </c>
      <c r="E91" s="4" t="n">
        <v>14.02</v>
      </c>
      <c r="F91" s="4">
        <f>ROUND(E91-D91,2)</f>
        <v/>
      </c>
      <c r="H91" s="29" t="n"/>
      <c r="I91" s="29" t="n"/>
      <c r="J91" s="29" t="n"/>
    </row>
    <row r="92">
      <c r="A92" s="3" t="n">
        <v>24</v>
      </c>
      <c r="B92" s="3" t="inlineStr">
        <is>
          <t>Д</t>
        </is>
      </c>
      <c r="C92" s="3" t="inlineStr">
        <is>
          <t>Вн-6</t>
        </is>
      </c>
      <c r="D92" s="4" t="n">
        <v>39.98</v>
      </c>
      <c r="E92" s="4" t="n">
        <v>39.98</v>
      </c>
      <c r="F92" s="4">
        <f>ROUND(E92-D92,2)</f>
        <v/>
      </c>
      <c r="H92" s="29" t="n"/>
      <c r="I92" s="29" t="n"/>
      <c r="J92" s="29" t="n"/>
    </row>
    <row r="93">
      <c r="A93" s="3" t="n">
        <v>25</v>
      </c>
      <c r="B93" s="3" t="inlineStr">
        <is>
          <t>Д</t>
        </is>
      </c>
      <c r="C93" s="3" t="inlineStr">
        <is>
          <t>Вн-7</t>
        </is>
      </c>
      <c r="D93" s="4" t="n">
        <v>19.97</v>
      </c>
      <c r="E93" s="4" t="n">
        <v>19.97</v>
      </c>
      <c r="F93" s="4">
        <f>ROUND(E93-D93,2)</f>
        <v/>
      </c>
      <c r="H93" s="29" t="n"/>
      <c r="I93" s="29" t="n"/>
      <c r="J93" s="29" t="n"/>
    </row>
    <row r="94">
      <c r="A94" s="3" t="n">
        <v>26</v>
      </c>
      <c r="B94" s="3" t="inlineStr">
        <is>
          <t>Д</t>
        </is>
      </c>
      <c r="C94" s="3" t="inlineStr">
        <is>
          <t>Вн-9</t>
        </is>
      </c>
      <c r="D94" s="4" t="n">
        <v>19.68</v>
      </c>
      <c r="E94" s="4" t="n">
        <v>19.68</v>
      </c>
      <c r="F94" s="4">
        <f>ROUND(E94-D94,2)</f>
        <v/>
      </c>
      <c r="H94" s="29" t="n"/>
      <c r="I94" s="29" t="n"/>
      <c r="J94" s="29" t="n"/>
    </row>
    <row r="95">
      <c r="A95" s="3" t="n">
        <v>27</v>
      </c>
      <c r="B95" s="3" t="inlineStr">
        <is>
          <t>Д</t>
        </is>
      </c>
      <c r="C95" s="3" t="inlineStr">
        <is>
          <t>Вн-17</t>
        </is>
      </c>
      <c r="D95" s="4" t="n">
        <v>18.14</v>
      </c>
      <c r="E95" s="4" t="n">
        <v>18.14</v>
      </c>
      <c r="F95" s="4">
        <f>ROUND(E95-D95,2)</f>
        <v/>
      </c>
      <c r="H95" s="29" t="n"/>
      <c r="I95" s="29" t="n"/>
      <c r="J95" s="29" t="n"/>
    </row>
    <row r="96">
      <c r="A96" s="27" t="n"/>
      <c r="B96" s="8" t="inlineStr">
        <is>
          <t>ИТОГО</t>
        </is>
      </c>
      <c r="C96" s="27" t="n"/>
      <c r="D96" s="28">
        <f>SUM(D69:D95)</f>
        <v/>
      </c>
      <c r="E96" s="28">
        <f>SUM(E69:E95)</f>
        <v/>
      </c>
      <c r="F96" s="28">
        <f>SUM(F69:F95)</f>
        <v/>
      </c>
      <c r="H96" s="29" t="n"/>
      <c r="I96" s="29" t="n"/>
      <c r="J96" s="29" t="n"/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2026-09-28T08:00:58Z</dcterms:created>
  <dcterms:modified xmlns:dcterms="http://purl.org/dc/terms/" xmlns:xsi="http://www.w3.org/2001/XMLSchema-instance" xsi:type="dcterms:W3CDTF">2026-09-28T08:00:58Z</dcterms:modified>
</cp:coreProperties>
</file>