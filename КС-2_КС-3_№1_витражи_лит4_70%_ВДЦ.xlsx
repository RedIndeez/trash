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28680" yWindow="-120" windowWidth="29040" windowHeight="15990" tabRatio="846" firstSheet="0" activeTab="1" autoFilterDateGrouping="1"/>
  </bookViews>
  <sheets>
    <sheet xmlns:r="http://schemas.openxmlformats.org/officeDocument/2006/relationships" name="КС-2 " sheetId="1" state="visible" r:id="rId1"/>
    <sheet xmlns:r="http://schemas.openxmlformats.org/officeDocument/2006/relationships" name="КС-3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0" hidden="1">'КС-2 '!$A$35:$J$51</definedName>
    <definedName name="_xlnm.Print_Area" localSheetId="0">'КС-2 '!$A$1:$AG$215</definedName>
    <definedName name="_xlnm.Print_Area" localSheetId="1">'КС-3'!$A$1:$K$49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#,##0.00_ ;[Red]\-#,##0.00\ "/>
    <numFmt numFmtId="166" formatCode="#,##0.00;\-#,##0.00;\-"/>
    <numFmt numFmtId="167" formatCode="0;\-0;\-"/>
  </numFmts>
  <fonts count="36">
    <font>
      <name val="Arial"/>
      <sz val="10"/>
    </font>
    <font>
      <name val="Arial"/>
      <charset val="204"/>
      <family val="2"/>
      <sz val="10"/>
    </font>
    <font>
      <name val="Cambria"/>
      <charset val="204"/>
      <family val="1"/>
      <sz val="9"/>
    </font>
    <font>
      <name val="Cambria"/>
      <charset val="204"/>
      <family val="1"/>
      <sz val="11"/>
    </font>
    <font>
      <name val="Cambria"/>
      <charset val="204"/>
      <family val="1"/>
      <sz val="10"/>
    </font>
    <font>
      <name val="Cambria"/>
      <charset val="204"/>
      <family val="1"/>
      <sz val="8"/>
    </font>
    <font>
      <name val="Cambria"/>
      <charset val="204"/>
      <family val="1"/>
      <b val="1"/>
      <i val="1"/>
      <sz val="10"/>
    </font>
    <font>
      <name val="Cambria"/>
      <charset val="204"/>
      <family val="1"/>
      <b val="1"/>
      <sz val="11"/>
    </font>
    <font>
      <name val="Cambria"/>
      <charset val="204"/>
      <family val="1"/>
      <b val="1"/>
      <sz val="10"/>
    </font>
    <font>
      <name val="Cambria"/>
      <charset val="204"/>
      <family val="1"/>
      <i val="1"/>
      <sz val="10"/>
    </font>
    <font>
      <name val="Cambria"/>
      <charset val="204"/>
      <family val="1"/>
      <sz val="12"/>
    </font>
    <font>
      <name val="Cambria"/>
      <charset val="204"/>
      <family val="1"/>
      <b val="1"/>
      <sz val="12"/>
    </font>
    <font>
      <name val="Cambria"/>
      <charset val="204"/>
      <family val="1"/>
      <sz val="11"/>
      <u val="single"/>
    </font>
    <font>
      <name val="Cambria"/>
      <charset val="204"/>
      <family val="2"/>
      <color theme="1"/>
      <sz val="11"/>
    </font>
    <font>
      <name val="Times New Roman"/>
      <charset val="204"/>
      <family val="1"/>
      <b val="1"/>
      <sz val="11"/>
      <u val="single"/>
    </font>
    <font>
      <name val="Arial"/>
      <charset val="204"/>
      <family val="2"/>
      <sz val="10"/>
    </font>
    <font>
      <name val="Times New Roman"/>
      <charset val="204"/>
      <family val="1"/>
      <color rgb="FF000000"/>
      <sz val="11"/>
    </font>
    <font>
      <name val="Cambria"/>
      <charset val="204"/>
      <family val="1"/>
      <b val="1"/>
      <sz val="10"/>
      <vertAlign val="superscript"/>
    </font>
    <font>
      <name val="Cambria"/>
      <charset val="204"/>
      <family val="1"/>
      <sz val="10"/>
      <vertAlign val="superscript"/>
    </font>
    <font>
      <name val="Cambria"/>
      <charset val="204"/>
      <family val="1"/>
      <sz val="7"/>
    </font>
    <font>
      <name val="Arial"/>
      <charset val="204"/>
      <family val="2"/>
      <b val="1"/>
      <sz val="12"/>
    </font>
    <font>
      <name val="Arial1"/>
      <charset val="204"/>
      <color rgb="FF000000"/>
      <sz val="10"/>
    </font>
    <font>
      <name val="Arial"/>
      <charset val="204"/>
      <family val="2"/>
      <sz val="8"/>
    </font>
    <font>
      <name val="Arial"/>
      <charset val="204"/>
      <family val="2"/>
      <b val="1"/>
      <sz val="10"/>
    </font>
    <font>
      <name val="Arial"/>
      <charset val="204"/>
      <family val="2"/>
      <sz val="9"/>
    </font>
    <font>
      <name val="Arial"/>
      <charset val="204"/>
      <family val="2"/>
      <color theme="1"/>
      <sz val="10"/>
    </font>
    <font>
      <name val="Calibri"/>
      <charset val="1"/>
      <family val="2"/>
      <color theme="1"/>
      <sz val="11"/>
    </font>
    <font>
      <name val="Arial"/>
      <charset val="204"/>
      <family val="2"/>
      <i val="1"/>
      <sz val="9"/>
    </font>
    <font>
      <name val="Arial"/>
      <charset val="204"/>
      <family val="2"/>
      <b val="1"/>
      <color rgb="FFFF0000"/>
      <sz val="10"/>
    </font>
    <font>
      <name val="Arial"/>
      <charset val="204"/>
      <family val="2"/>
      <color rgb="FFFF0000"/>
      <sz val="10"/>
    </font>
    <font>
      <name val="Arial"/>
      <charset val="204"/>
      <family val="2"/>
      <color rgb="FF0000FF"/>
      <sz val="10"/>
    </font>
    <font>
      <name val="Arial"/>
      <charset val="204"/>
      <family val="2"/>
      <b val="1"/>
      <i val="1"/>
      <sz val="10"/>
    </font>
    <font>
      <name val="Calibri"/>
      <charset val="204"/>
      <family val="2"/>
      <color theme="1"/>
      <sz val="11"/>
    </font>
    <font>
      <name val="Arial"/>
      <charset val="204"/>
      <family val="2"/>
      <b val="1"/>
      <color theme="1"/>
      <sz val="10"/>
    </font>
    <font>
      <name val="Arial"/>
      <charset val="204"/>
      <family val="2"/>
      <i val="1"/>
      <color theme="1"/>
      <sz val="9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D9D9D9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  <fill>
      <patternFill patternType="solid">
        <fgColor theme="7" tint="0.7999816888943144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">
    <xf numFmtId="0" fontId="0" fillId="0" borderId="0"/>
    <xf numFmtId="0" fontId="13" fillId="0" borderId="0"/>
    <xf numFmtId="0" fontId="15" fillId="0" borderId="0"/>
    <xf numFmtId="43" fontId="15" fillId="0" borderId="0"/>
    <xf numFmtId="0" fontId="26" fillId="0" borderId="0"/>
    <xf numFmtId="0" fontId="35" fillId="0" borderId="0"/>
  </cellStyleXfs>
  <cellXfs count="545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vertical="top"/>
    </xf>
    <xf numFmtId="0" fontId="4" fillId="0" borderId="1" pivotButton="0" quotePrefix="0" xfId="0"/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8" fillId="0" borderId="0" pivotButton="0" quotePrefix="0" xfId="0"/>
    <xf numFmtId="0" fontId="7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/>
    </xf>
    <xf numFmtId="49" fontId="10" fillId="0" borderId="0" applyAlignment="1" pivotButton="0" quotePrefix="0" xfId="0">
      <alignment vertical="top"/>
    </xf>
    <xf numFmtId="49" fontId="10" fillId="0" borderId="0" applyAlignment="1" pivotButton="0" quotePrefix="0" xfId="0">
      <alignment vertical="top" wrapText="1"/>
    </xf>
    <xf numFmtId="49" fontId="10" fillId="0" borderId="0" applyAlignment="1" pivotButton="0" quotePrefix="0" xfId="0">
      <alignment horizontal="left" vertical="top" wrapText="1"/>
    </xf>
    <xf numFmtId="49" fontId="4" fillId="0" borderId="0" applyAlignment="1" pivotButton="0" quotePrefix="0" xfId="0">
      <alignment vertical="top" wrapText="1"/>
    </xf>
    <xf numFmtId="0" fontId="4" fillId="0" borderId="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top"/>
    </xf>
    <xf numFmtId="2" fontId="3" fillId="0" borderId="0" pivotButton="0" quotePrefix="0" xfId="0"/>
    <xf numFmtId="0" fontId="14" fillId="0" borderId="18" applyAlignment="1" pivotButton="0" quotePrefix="0" xfId="0">
      <alignment vertical="center"/>
    </xf>
    <xf numFmtId="0" fontId="3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4" fontId="3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4" fontId="8" fillId="0" borderId="0" applyAlignment="1" pivotButton="0" quotePrefix="0" xfId="0">
      <alignment horizontal="center" vertical="center"/>
    </xf>
    <xf numFmtId="0" fontId="3" fillId="0" borderId="0" pivotButton="0" quotePrefix="0" xfId="2"/>
    <xf numFmtId="0" fontId="3" fillId="0" borderId="0" applyAlignment="1" pivotButton="0" quotePrefix="0" xfId="2">
      <alignment horizontal="left" vertical="center"/>
    </xf>
    <xf numFmtId="0" fontId="3" fillId="0" borderId="0" applyAlignment="1" pivotButton="0" quotePrefix="0" xfId="2">
      <alignment horizontal="right"/>
    </xf>
    <xf numFmtId="0" fontId="3" fillId="0" borderId="0" applyAlignment="1" pivotButton="0" quotePrefix="0" xfId="2">
      <alignment horizontal="left"/>
    </xf>
    <xf numFmtId="0" fontId="5" fillId="0" borderId="0" applyAlignment="1" pivotButton="0" quotePrefix="0" xfId="0">
      <alignment horizontal="center" vertical="top"/>
    </xf>
    <xf numFmtId="0" fontId="10" fillId="0" borderId="0" pivotButton="0" quotePrefix="0" xfId="0"/>
    <xf numFmtId="0" fontId="9" fillId="0" borderId="6" applyAlignment="1" pivotButton="0" quotePrefix="0" xfId="2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4" fillId="2" borderId="1" pivotButton="0" quotePrefix="0" xfId="0"/>
    <xf numFmtId="0" fontId="4" fillId="2" borderId="0" applyAlignment="1" pivotButton="0" quotePrefix="0" xfId="0">
      <alignment horizontal="center"/>
    </xf>
    <xf numFmtId="49" fontId="10" fillId="2" borderId="0" applyAlignment="1" pivotButton="0" quotePrefix="0" xfId="2">
      <alignment horizontal="center" vertical="top"/>
    </xf>
    <xf numFmtId="0" fontId="3" fillId="2" borderId="0" pivotButton="0" quotePrefix="0" xfId="0"/>
    <xf numFmtId="49" fontId="4" fillId="2" borderId="3" applyAlignment="1" pivotButton="0" quotePrefix="0" xfId="0">
      <alignment horizontal="center"/>
    </xf>
    <xf numFmtId="0" fontId="8" fillId="0" borderId="2" applyAlignment="1" pivotButton="0" quotePrefix="0" xfId="0">
      <alignment horizontal="right" vertical="center"/>
    </xf>
    <xf numFmtId="164" fontId="0" fillId="0" borderId="3" applyAlignment="1" pivotButton="0" quotePrefix="0" xfId="3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5" fillId="0" borderId="4" pivotButton="0" quotePrefix="0" xfId="0"/>
    <xf numFmtId="0" fontId="3" fillId="0" borderId="4" applyAlignment="1" pivotButton="0" quotePrefix="0" xfId="0">
      <alignment vertical="center"/>
    </xf>
    <xf numFmtId="0" fontId="3" fillId="0" borderId="4" pivotButton="0" quotePrefix="0" xfId="0"/>
    <xf numFmtId="0" fontId="5" fillId="0" borderId="1" pivotButton="0" quotePrefix="0" xfId="0"/>
    <xf numFmtId="0" fontId="12" fillId="0" borderId="1" applyAlignment="1" pivotButton="0" quotePrefix="0" xfId="0">
      <alignment horizontal="left" vertical="center"/>
    </xf>
    <xf numFmtId="0" fontId="9" fillId="0" borderId="2" applyAlignment="1" pivotButton="0" quotePrefix="0" xfId="2">
      <alignment vertical="center" wrapText="1"/>
    </xf>
    <xf numFmtId="164" fontId="19" fillId="0" borderId="0" applyAlignment="1" pivotButton="0" quotePrefix="0" xfId="3">
      <alignment vertical="top"/>
    </xf>
    <xf numFmtId="0" fontId="4" fillId="0" borderId="2" applyAlignment="1" pivotButton="0" quotePrefix="0" xfId="0">
      <alignment horizontal="right" vertical="center"/>
    </xf>
    <xf numFmtId="0" fontId="4" fillId="0" borderId="6" applyAlignment="1" pivotButton="0" quotePrefix="0" xfId="0">
      <alignment horizontal="center" vertical="center" wrapText="1"/>
    </xf>
    <xf numFmtId="0" fontId="1" fillId="0" borderId="0" pivotButton="0" quotePrefix="0" xfId="0"/>
    <xf numFmtId="4" fontId="4" fillId="0" borderId="0" applyAlignment="1" pivotButton="0" quotePrefix="0" xfId="2">
      <alignment vertical="center"/>
    </xf>
    <xf numFmtId="0" fontId="1" fillId="2" borderId="0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5" fontId="1" fillId="0" borderId="0" applyAlignment="1" pivotButton="0" quotePrefix="0" xfId="0">
      <alignment horizontal="right" vertical="center"/>
    </xf>
    <xf numFmtId="4" fontId="1" fillId="0" borderId="0" pivotButton="0" quotePrefix="0" xfId="0"/>
    <xf numFmtId="0" fontId="1" fillId="0" borderId="0" applyAlignment="1" pivotButton="0" quotePrefix="0" xfId="0">
      <alignment horizontal="right"/>
    </xf>
    <xf numFmtId="2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11" applyAlignment="1" pivotButton="0" quotePrefix="0" xfId="0">
      <alignment horizontal="right" vertical="center"/>
    </xf>
    <xf numFmtId="0" fontId="1" fillId="0" borderId="5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 wrapText="1"/>
    </xf>
    <xf numFmtId="4" fontId="1" fillId="0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49" fontId="1" fillId="0" borderId="1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vertical="center"/>
    </xf>
    <xf numFmtId="49" fontId="1" fillId="0" borderId="5" applyAlignment="1" pivotButton="0" quotePrefix="0" xfId="0">
      <alignment horizontal="center" vertical="center" wrapText="1"/>
    </xf>
    <xf numFmtId="4" fontId="1" fillId="0" borderId="5" applyAlignment="1" pivotButton="0" quotePrefix="0" xfId="0">
      <alignment horizontal="right" vertical="center" wrapText="1"/>
    </xf>
    <xf numFmtId="4" fontId="1" fillId="0" borderId="0" applyAlignment="1" pivotButton="0" quotePrefix="0" xfId="0">
      <alignment horizontal="right" vertical="center" wrapText="1"/>
    </xf>
    <xf numFmtId="4" fontId="1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4" fontId="1" fillId="0" borderId="8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20" fillId="0" borderId="0" pivotButton="0" quotePrefix="0" xfId="0"/>
    <xf numFmtId="2" fontId="1" fillId="2" borderId="22" applyAlignment="1" pivotButton="0" quotePrefix="0" xfId="0">
      <alignment horizontal="center" vertical="center"/>
    </xf>
    <xf numFmtId="2" fontId="21" fillId="2" borderId="0" pivotButton="0" quotePrefix="0" xfId="0"/>
    <xf numFmtId="2" fontId="21" fillId="2" borderId="22" applyAlignment="1" pivotButton="0" quotePrefix="0" xfId="0">
      <alignment horizontal="center" vertical="center"/>
    </xf>
    <xf numFmtId="49" fontId="1" fillId="2" borderId="21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/>
    </xf>
    <xf numFmtId="49" fontId="1" fillId="0" borderId="7" applyAlignment="1" pivotButton="0" quotePrefix="0" xfId="0">
      <alignment horizontal="center"/>
    </xf>
    <xf numFmtId="49" fontId="1" fillId="0" borderId="0" pivotButton="0" quotePrefix="0" xfId="0"/>
    <xf numFmtId="49" fontId="1" fillId="0" borderId="10" applyAlignment="1" pivotButton="0" quotePrefix="0" xfId="0">
      <alignment horizontal="center"/>
    </xf>
    <xf numFmtId="49" fontId="1" fillId="0" borderId="9" applyAlignment="1" pivotButton="0" quotePrefix="0" xfId="0">
      <alignment horizontal="center"/>
    </xf>
    <xf numFmtId="49" fontId="1" fillId="0" borderId="8" applyAlignment="1" pivotButton="0" quotePrefix="0" xfId="0">
      <alignment horizontal="center"/>
    </xf>
    <xf numFmtId="49" fontId="1" fillId="2" borderId="26" applyAlignment="1" pivotButton="0" quotePrefix="0" xfId="0">
      <alignment horizontal="center" vertical="center"/>
    </xf>
    <xf numFmtId="49" fontId="1" fillId="2" borderId="3" applyAlignment="1" pivotButton="0" quotePrefix="0" xfId="0">
      <alignment horizontal="center" vertical="center"/>
    </xf>
    <xf numFmtId="49" fontId="1" fillId="2" borderId="27" applyAlignment="1" pivotButton="0" quotePrefix="0" xfId="0">
      <alignment horizontal="center" vertical="center"/>
    </xf>
    <xf numFmtId="0" fontId="1" fillId="0" borderId="2" applyAlignment="1" pivotButton="0" quotePrefix="0" xfId="0">
      <alignment horizontal="right"/>
    </xf>
    <xf numFmtId="49" fontId="1" fillId="0" borderId="3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49" fontId="1" fillId="0" borderId="31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49" fontId="1" fillId="0" borderId="34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0" borderId="3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top"/>
    </xf>
    <xf numFmtId="0" fontId="22" fillId="0" borderId="0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24" fillId="0" borderId="0" pivotButton="0" quotePrefix="0" xfId="0"/>
    <xf numFmtId="0" fontId="4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vertical="center"/>
    </xf>
    <xf numFmtId="0" fontId="4" fillId="3" borderId="4" applyAlignment="1" pivotButton="0" quotePrefix="0" xfId="0">
      <alignment vertical="center"/>
    </xf>
    <xf numFmtId="2" fontId="4" fillId="3" borderId="4" applyAlignment="1" pivotButton="0" quotePrefix="0" xfId="0">
      <alignment horizontal="center" vertical="center"/>
    </xf>
    <xf numFmtId="4" fontId="4" fillId="3" borderId="4" applyAlignment="1" pivotButton="0" quotePrefix="0" xfId="0">
      <alignment horizontal="center" vertical="center"/>
    </xf>
    <xf numFmtId="4" fontId="4" fillId="3" borderId="6" applyAlignment="1" pivotButton="0" quotePrefix="0" xfId="0">
      <alignment horizontal="center" vertical="center"/>
    </xf>
    <xf numFmtId="0" fontId="8" fillId="4" borderId="3" applyAlignment="1" pivotButton="0" quotePrefix="0" xfId="0">
      <alignment vertical="center" wrapText="1"/>
    </xf>
    <xf numFmtId="0" fontId="8" fillId="4" borderId="7" applyAlignment="1" pivotButton="0" quotePrefix="0" xfId="0">
      <alignment horizontal="right" vertical="center"/>
    </xf>
    <xf numFmtId="0" fontId="8" fillId="4" borderId="1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26" fillId="0" borderId="0" pivotButton="0" quotePrefix="0" xfId="4"/>
    <xf numFmtId="0" fontId="27" fillId="0" borderId="39" applyAlignment="1" pivotButton="0" quotePrefix="0" xfId="4">
      <alignment vertical="top" wrapText="1"/>
    </xf>
    <xf numFmtId="166" fontId="23" fillId="0" borderId="39" applyAlignment="1" pivotButton="0" quotePrefix="0" xfId="4">
      <alignment vertical="top"/>
    </xf>
    <xf numFmtId="0" fontId="23" fillId="0" borderId="39" applyAlignment="1" pivotButton="0" quotePrefix="0" xfId="4">
      <alignment vertical="top" wrapText="1"/>
    </xf>
    <xf numFmtId="0" fontId="1" fillId="5" borderId="39" applyAlignment="1" pivotButton="0" quotePrefix="0" xfId="4">
      <alignment vertical="top"/>
    </xf>
    <xf numFmtId="166" fontId="23" fillId="5" borderId="39" applyAlignment="1" pivotButton="0" quotePrefix="0" xfId="4">
      <alignment vertical="top"/>
    </xf>
    <xf numFmtId="167" fontId="23" fillId="5" borderId="39" applyAlignment="1" pivotButton="0" quotePrefix="0" xfId="4">
      <alignment vertical="top"/>
    </xf>
    <xf numFmtId="0" fontId="23" fillId="5" borderId="39" applyAlignment="1" pivotButton="0" quotePrefix="0" xfId="4">
      <alignment vertical="top" wrapText="1"/>
    </xf>
    <xf numFmtId="0" fontId="1" fillId="6" borderId="39" applyAlignment="1" pivotButton="0" quotePrefix="0" xfId="4">
      <alignment vertical="top"/>
    </xf>
    <xf numFmtId="166" fontId="23" fillId="6" borderId="39" applyAlignment="1" pivotButton="0" quotePrefix="0" xfId="4">
      <alignment vertical="top"/>
    </xf>
    <xf numFmtId="166" fontId="28" fillId="6" borderId="39" applyAlignment="1" pivotButton="0" quotePrefix="0" xfId="4">
      <alignment vertical="top"/>
    </xf>
    <xf numFmtId="167" fontId="23" fillId="6" borderId="39" applyAlignment="1" pivotButton="0" quotePrefix="0" xfId="4">
      <alignment vertical="top"/>
    </xf>
    <xf numFmtId="0" fontId="23" fillId="6" borderId="39" applyAlignment="1" pivotButton="0" quotePrefix="0" xfId="4">
      <alignment vertical="top" wrapText="1"/>
    </xf>
    <xf numFmtId="0" fontId="1" fillId="0" borderId="39" applyAlignment="1" pivotButton="0" quotePrefix="0" xfId="4">
      <alignment vertical="top" wrapText="1"/>
    </xf>
    <xf numFmtId="166" fontId="1" fillId="0" borderId="39" applyAlignment="1" pivotButton="0" quotePrefix="0" xfId="4">
      <alignment vertical="top"/>
    </xf>
    <xf numFmtId="0" fontId="1" fillId="0" borderId="39" applyAlignment="1" pivotButton="0" quotePrefix="0" xfId="4">
      <alignment vertical="top"/>
    </xf>
    <xf numFmtId="166" fontId="30" fillId="0" borderId="39" applyAlignment="1" pivotButton="0" quotePrefix="0" xfId="4">
      <alignment vertical="top"/>
    </xf>
    <xf numFmtId="166" fontId="29" fillId="0" borderId="39" applyAlignment="1" pivotButton="0" quotePrefix="0" xfId="4">
      <alignment vertical="top"/>
    </xf>
    <xf numFmtId="0" fontId="1" fillId="0" borderId="39" applyAlignment="1" pivotButton="0" quotePrefix="0" xfId="4">
      <alignment horizontal="center" vertical="top"/>
    </xf>
    <xf numFmtId="167" fontId="1" fillId="0" borderId="39" applyAlignment="1" pivotButton="0" quotePrefix="0" xfId="4">
      <alignment vertical="top"/>
    </xf>
    <xf numFmtId="166" fontId="28" fillId="0" borderId="39" applyAlignment="1" pivotButton="0" quotePrefix="0" xfId="4">
      <alignment vertical="top"/>
    </xf>
    <xf numFmtId="167" fontId="30" fillId="0" borderId="39" applyAlignment="1" pivotButton="0" quotePrefix="0" xfId="4">
      <alignment vertical="top"/>
    </xf>
    <xf numFmtId="0" fontId="29" fillId="0" borderId="39" applyAlignment="1" pivotButton="0" quotePrefix="0" xfId="4">
      <alignment vertical="top"/>
    </xf>
    <xf numFmtId="0" fontId="31" fillId="0" borderId="39" applyAlignment="1" pivotButton="0" quotePrefix="0" xfId="4">
      <alignment vertical="top" wrapText="1"/>
    </xf>
    <xf numFmtId="0" fontId="1" fillId="7" borderId="39" applyAlignment="1" pivotButton="0" quotePrefix="0" xfId="4">
      <alignment vertical="top" wrapText="1"/>
    </xf>
    <xf numFmtId="0" fontId="27" fillId="0" borderId="39" applyAlignment="1" pivotButton="0" quotePrefix="0" xfId="4">
      <alignment horizontal="center" vertical="center" wrapText="1"/>
    </xf>
    <xf numFmtId="0" fontId="23" fillId="5" borderId="39" applyAlignment="1" pivotButton="0" quotePrefix="0" xfId="4">
      <alignment horizontal="center" vertical="center" wrapText="1"/>
    </xf>
    <xf numFmtId="0" fontId="20" fillId="0" borderId="0" pivotButton="0" quotePrefix="0" xfId="4"/>
    <xf numFmtId="0" fontId="16" fillId="0" borderId="6" applyAlignment="1" pivotButton="0" quotePrefix="0" xfId="1">
      <alignment horizontal="left" vertical="top" wrapText="1"/>
    </xf>
    <xf numFmtId="0" fontId="8" fillId="4" borderId="8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8" fillId="3" borderId="4" applyAlignment="1" pivotButton="0" quotePrefix="0" xfId="0">
      <alignment horizontal="right" vertical="center"/>
    </xf>
    <xf numFmtId="4" fontId="0" fillId="4" borderId="3" applyAlignment="1" pivotButton="0" quotePrefix="0" xfId="0">
      <alignment horizontal="center" vertical="center"/>
    </xf>
    <xf numFmtId="4" fontId="0" fillId="0" borderId="3" applyAlignment="1" pivotButton="0" quotePrefix="0" xfId="3">
      <alignment horizontal="center" vertical="center"/>
    </xf>
    <xf numFmtId="4" fontId="0" fillId="0" borderId="3" applyAlignment="1" pivotButton="0" quotePrefix="0" xfId="0">
      <alignment horizontal="center" vertical="center"/>
    </xf>
    <xf numFmtId="0" fontId="32" fillId="0" borderId="0" pivotButton="0" quotePrefix="0" xfId="4"/>
    <xf numFmtId="0" fontId="34" fillId="0" borderId="39" applyAlignment="1" pivotButton="0" quotePrefix="0" xfId="4">
      <alignment horizontal="center" vertical="center" wrapText="1"/>
    </xf>
    <xf numFmtId="0" fontId="25" fillId="0" borderId="39" applyAlignment="1" pivotButton="0" quotePrefix="0" xfId="4">
      <alignment vertical="top"/>
    </xf>
    <xf numFmtId="166" fontId="33" fillId="0" borderId="39" applyAlignment="1" pivotButton="0" quotePrefix="0" xfId="4">
      <alignment vertical="top"/>
    </xf>
    <xf numFmtId="166" fontId="25" fillId="0" borderId="39" applyAlignment="1" pivotButton="0" quotePrefix="0" xfId="4">
      <alignment vertical="top"/>
    </xf>
    <xf numFmtId="166" fontId="33" fillId="6" borderId="39" applyAlignment="1" pivotButton="0" quotePrefix="0" xfId="4">
      <alignment vertical="top"/>
    </xf>
    <xf numFmtId="0" fontId="25" fillId="0" borderId="0" pivotButton="0" quotePrefix="0" xfId="4"/>
    <xf numFmtId="166" fontId="33" fillId="5" borderId="39" applyAlignment="1" pivotButton="0" quotePrefix="0" xfId="4">
      <alignment vertical="top"/>
    </xf>
    <xf numFmtId="166" fontId="34" fillId="0" borderId="39" applyAlignment="1" pivotButton="0" quotePrefix="0" xfId="4">
      <alignment vertical="top"/>
    </xf>
    <xf numFmtId="0" fontId="4" fillId="8" borderId="7" applyAlignment="1" pivotButton="0" quotePrefix="0" xfId="0">
      <alignment horizontal="center" vertical="center"/>
    </xf>
    <xf numFmtId="0" fontId="11" fillId="8" borderId="4" applyAlignment="1" pivotButton="0" quotePrefix="0" xfId="0">
      <alignment horizontal="right" vertical="center"/>
    </xf>
    <xf numFmtId="0" fontId="8" fillId="8" borderId="4" applyAlignment="1" pivotButton="0" quotePrefix="0" xfId="0">
      <alignment vertical="center"/>
    </xf>
    <xf numFmtId="0" fontId="4" fillId="8" borderId="12" applyAlignment="1" pivotButton="0" quotePrefix="0" xfId="0">
      <alignment vertical="center"/>
    </xf>
    <xf numFmtId="0" fontId="4" fillId="8" borderId="4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/>
    </xf>
    <xf numFmtId="2" fontId="4" fillId="8" borderId="4" applyAlignment="1" pivotButton="0" quotePrefix="0" xfId="0">
      <alignment horizontal="center" vertical="center"/>
    </xf>
    <xf numFmtId="4" fontId="4" fillId="8" borderId="4" applyAlignment="1" pivotButton="0" quotePrefix="0" xfId="0">
      <alignment horizontal="center" vertical="center"/>
    </xf>
    <xf numFmtId="4" fontId="4" fillId="8" borderId="6" applyAlignment="1" pivotButton="0" quotePrefix="0" xfId="0">
      <alignment horizontal="center" vertical="center"/>
    </xf>
    <xf numFmtId="0" fontId="8" fillId="8" borderId="12" applyAlignment="1" pivotButton="0" quotePrefix="0" xfId="0">
      <alignment horizontal="left" vertical="center"/>
    </xf>
    <xf numFmtId="4" fontId="4" fillId="0" borderId="4" applyAlignment="1" pivotButton="0" quotePrefix="0" xfId="0">
      <alignment vertical="center"/>
    </xf>
    <xf numFmtId="4" fontId="4" fillId="0" borderId="6" applyAlignment="1" pivotButton="0" quotePrefix="0" xfId="0">
      <alignment vertical="center"/>
    </xf>
    <xf numFmtId="4" fontId="4" fillId="3" borderId="12" applyAlignment="1" pivotButton="0" quotePrefix="0" xfId="0">
      <alignment horizontal="center" vertical="center"/>
    </xf>
    <xf numFmtId="4" fontId="4" fillId="3" borderId="13" applyAlignment="1" pivotButton="0" quotePrefix="0" xfId="0">
      <alignment horizontal="center" vertical="center"/>
    </xf>
    <xf numFmtId="4" fontId="4" fillId="2" borderId="12" applyAlignment="1" pivotButton="0" quotePrefix="0" xfId="0">
      <alignment vertical="center"/>
    </xf>
    <xf numFmtId="0" fontId="4" fillId="2" borderId="2" applyAlignment="1" pivotButton="0" quotePrefix="0" xfId="0">
      <alignment horizontal="right" vertical="center"/>
    </xf>
    <xf numFmtId="0" fontId="4" fillId="0" borderId="4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6" applyAlignment="1" pivotButton="0" quotePrefix="0" xfId="0">
      <alignment vertical="center"/>
    </xf>
    <xf numFmtId="2" fontId="8" fillId="2" borderId="8" applyAlignment="1" pivotButton="0" quotePrefix="0" xfId="0">
      <alignment horizontal="right" vertical="center"/>
    </xf>
    <xf numFmtId="0" fontId="4" fillId="2" borderId="8" applyAlignment="1" pivotButton="0" quotePrefix="0" xfId="0">
      <alignment horizontal="left" vertical="center"/>
    </xf>
    <xf numFmtId="0" fontId="3" fillId="0" borderId="12" pivotButton="0" quotePrefix="0" xfId="0"/>
    <xf numFmtId="4" fontId="8" fillId="2" borderId="13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/>
    </xf>
    <xf numFmtId="0" fontId="3" fillId="0" borderId="4" applyAlignment="1" pivotButton="0" quotePrefix="0" xfId="0">
      <alignment horizontal="left"/>
    </xf>
    <xf numFmtId="0" fontId="3" fillId="0" borderId="6" pivotButton="0" quotePrefix="0" xfId="0"/>
    <xf numFmtId="49" fontId="1" fillId="0" borderId="33" applyAlignment="1" pivotButton="0" quotePrefix="0" xfId="0">
      <alignment horizontal="center"/>
    </xf>
    <xf numFmtId="49" fontId="1" fillId="0" borderId="12" applyAlignment="1" pivotButton="0" quotePrefix="0" xfId="0">
      <alignment horizontal="center"/>
    </xf>
    <xf numFmtId="49" fontId="1" fillId="0" borderId="32" applyAlignment="1" pivotButton="0" quotePrefix="0" xfId="0">
      <alignment horizontal="center"/>
    </xf>
    <xf numFmtId="49" fontId="1" fillId="0" borderId="31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49" fontId="1" fillId="0" borderId="30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49" fontId="1" fillId="0" borderId="24" applyAlignment="1" pivotButton="0" quotePrefix="0" xfId="0">
      <alignment horizontal="center"/>
    </xf>
    <xf numFmtId="49" fontId="1" fillId="0" borderId="23" applyAlignment="1" pivotButton="0" quotePrefix="0" xfId="0">
      <alignment horizontal="center"/>
    </xf>
    <xf numFmtId="49" fontId="1" fillId="0" borderId="7" applyAlignment="1" pivotButton="0" quotePrefix="0" xfId="0">
      <alignment horizontal="center"/>
    </xf>
    <xf numFmtId="49" fontId="1" fillId="0" borderId="13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49" fontId="1" fillId="2" borderId="29" applyAlignment="1" pivotButton="0" quotePrefix="0" xfId="0">
      <alignment horizontal="center" vertical="center" wrapText="1"/>
    </xf>
    <xf numFmtId="49" fontId="1" fillId="2" borderId="4" applyAlignment="1" pivotButton="0" quotePrefix="0" xfId="0">
      <alignment horizontal="center" vertical="center" wrapText="1"/>
    </xf>
    <xf numFmtId="49" fontId="1" fillId="2" borderId="28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/>
    </xf>
    <xf numFmtId="49" fontId="1" fillId="0" borderId="38" applyAlignment="1" pivotButton="0" quotePrefix="0" xfId="0">
      <alignment horizontal="center"/>
    </xf>
    <xf numFmtId="49" fontId="1" fillId="0" borderId="37" applyAlignment="1" pivotButton="0" quotePrefix="0" xfId="0">
      <alignment horizontal="center"/>
    </xf>
    <xf numFmtId="49" fontId="1" fillId="0" borderId="36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49" fontId="1" fillId="0" borderId="33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32" applyAlignment="1" pivotButton="0" quotePrefix="0" xfId="0">
      <alignment horizontal="center" vertical="center"/>
    </xf>
    <xf numFmtId="49" fontId="1" fillId="0" borderId="35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0" borderId="34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2" fontId="1" fillId="2" borderId="21" applyAlignment="1" pivotButton="0" quotePrefix="0" xfId="0">
      <alignment horizontal="center" vertical="center"/>
    </xf>
    <xf numFmtId="2" fontId="1" fillId="2" borderId="20" applyAlignment="1" pivotButton="0" quotePrefix="0" xfId="0">
      <alignment horizontal="center" vertical="center"/>
    </xf>
    <xf numFmtId="2" fontId="1" fillId="2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4" fontId="1" fillId="0" borderId="7" applyAlignment="1" pivotButton="0" quotePrefix="0" xfId="0">
      <alignment horizontal="center" vertical="center" wrapText="1"/>
    </xf>
    <xf numFmtId="4" fontId="1" fillId="0" borderId="12" applyAlignment="1" pivotButton="0" quotePrefix="0" xfId="0">
      <alignment horizontal="center" vertical="center" wrapText="1"/>
    </xf>
    <xf numFmtId="4" fontId="1" fillId="0" borderId="13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4" fontId="1" fillId="0" borderId="9" applyAlignment="1" pivotButton="0" quotePrefix="0" xfId="0">
      <alignment horizontal="center" vertical="center" wrapText="1"/>
    </xf>
    <xf numFmtId="4" fontId="1" fillId="0" borderId="5" applyAlignment="1" pivotButton="0" quotePrefix="0" xfId="0">
      <alignment horizontal="center" vertical="center" wrapText="1"/>
    </xf>
    <xf numFmtId="4" fontId="1" fillId="0" borderId="0" applyAlignment="1" pivotButton="0" quotePrefix="0" xfId="0">
      <alignment horizontal="center" vertical="center"/>
    </xf>
    <xf numFmtId="4" fontId="1" fillId="0" borderId="5" applyAlignment="1" pivotButton="0" quotePrefix="0" xfId="0">
      <alignment horizontal="center" vertical="center"/>
    </xf>
    <xf numFmtId="4" fontId="1" fillId="0" borderId="0" applyAlignment="1" pivotButton="0" quotePrefix="0" xfId="0">
      <alignment horizontal="right" vertical="center"/>
    </xf>
    <xf numFmtId="4" fontId="1" fillId="0" borderId="5" applyAlignment="1" pivotButton="0" quotePrefix="0" xfId="0">
      <alignment horizontal="right" vertical="center"/>
    </xf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4" fontId="1" fillId="0" borderId="2" applyAlignment="1" pivotButton="0" quotePrefix="0" xfId="0">
      <alignment horizontal="right" vertical="center" wrapText="1"/>
    </xf>
    <xf numFmtId="4" fontId="1" fillId="0" borderId="4" applyAlignment="1" pivotButton="0" quotePrefix="0" xfId="0">
      <alignment horizontal="right" vertical="center" wrapText="1"/>
    </xf>
    <xf numFmtId="4" fontId="1" fillId="0" borderId="6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wrapText="1"/>
    </xf>
    <xf numFmtId="0" fontId="1" fillId="0" borderId="9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4" fontId="1" fillId="0" borderId="9" applyAlignment="1" pivotButton="0" quotePrefix="0" xfId="0">
      <alignment horizontal="right" vertical="center"/>
    </xf>
    <xf numFmtId="0" fontId="1" fillId="0" borderId="12" applyAlignment="1" pivotButton="0" quotePrefix="0" xfId="0">
      <alignment horizontal="right" vertical="center"/>
    </xf>
    <xf numFmtId="0" fontId="1" fillId="0" borderId="5" applyAlignment="1" pivotButton="0" quotePrefix="0" xfId="0">
      <alignment horizontal="right" vertical="center"/>
    </xf>
    <xf numFmtId="4" fontId="1" fillId="0" borderId="2" applyAlignment="1" pivotButton="0" quotePrefix="0" xfId="0">
      <alignment horizontal="right" vertical="center"/>
    </xf>
    <xf numFmtId="4" fontId="1" fillId="0" borderId="4" applyAlignment="1" pivotButton="0" quotePrefix="0" xfId="0">
      <alignment horizontal="right" vertical="center"/>
    </xf>
    <xf numFmtId="4" fontId="1" fillId="0" borderId="6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0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49" fontId="3" fillId="0" borderId="2" applyAlignment="1" pivotButton="0" quotePrefix="0" xfId="0">
      <alignment horizontal="center"/>
    </xf>
    <xf numFmtId="49" fontId="3" fillId="0" borderId="4" applyAlignment="1" pivotButton="0" quotePrefix="0" xfId="0">
      <alignment horizontal="center"/>
    </xf>
    <xf numFmtId="49" fontId="3" fillId="0" borderId="6" applyAlignment="1" pivotButton="0" quotePrefix="0" xfId="0">
      <alignment horizontal="center"/>
    </xf>
    <xf numFmtId="49" fontId="3" fillId="0" borderId="7" applyAlignment="1" pivotButton="0" quotePrefix="0" xfId="0">
      <alignment horizontal="center"/>
    </xf>
    <xf numFmtId="49" fontId="3" fillId="0" borderId="12" applyAlignment="1" pivotButton="0" quotePrefix="0" xfId="0">
      <alignment horizontal="center"/>
    </xf>
    <xf numFmtId="49" fontId="3" fillId="0" borderId="13" applyAlignment="1" pivotButton="0" quotePrefix="0" xfId="0">
      <alignment horizontal="center"/>
    </xf>
    <xf numFmtId="49" fontId="3" fillId="0" borderId="14" applyAlignment="1" pivotButton="0" quotePrefix="0" xfId="0">
      <alignment horizontal="center"/>
    </xf>
    <xf numFmtId="49" fontId="3" fillId="0" borderId="1" applyAlignment="1" pivotButton="0" quotePrefix="0" xfId="0">
      <alignment horizontal="center"/>
    </xf>
    <xf numFmtId="49" fontId="3" fillId="0" borderId="15" applyAlignment="1" pivotButton="0" quotePrefix="0" xfId="0">
      <alignment horizontal="center"/>
    </xf>
    <xf numFmtId="49" fontId="4" fillId="0" borderId="7" applyAlignment="1" pivotButton="0" quotePrefix="0" xfId="0">
      <alignment horizontal="center"/>
    </xf>
    <xf numFmtId="49" fontId="4" fillId="0" borderId="12" applyAlignment="1" pivotButton="0" quotePrefix="0" xfId="0">
      <alignment horizontal="center"/>
    </xf>
    <xf numFmtId="49" fontId="4" fillId="0" borderId="13" applyAlignment="1" pivotButton="0" quotePrefix="0" xfId="0">
      <alignment horizontal="center"/>
    </xf>
    <xf numFmtId="49" fontId="4" fillId="0" borderId="14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49" fontId="4" fillId="0" borderId="15" applyAlignment="1" pivotButton="0" quotePrefix="0" xfId="0">
      <alignment horizontal="center"/>
    </xf>
    <xf numFmtId="4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4" fillId="0" borderId="9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4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49" fontId="4" fillId="2" borderId="16" applyAlignment="1" pivotButton="0" quotePrefix="0" xfId="0">
      <alignment horizontal="center" vertical="center" wrapText="1"/>
    </xf>
    <xf numFmtId="49" fontId="4" fillId="2" borderId="4" applyAlignment="1" pivotButton="0" quotePrefix="0" xfId="0">
      <alignment horizontal="center" vertical="center" wrapText="1"/>
    </xf>
    <xf numFmtId="49" fontId="4" fillId="2" borderId="17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/>
    </xf>
    <xf numFmtId="49" fontId="4" fillId="2" borderId="4" applyAlignment="1" pivotButton="0" quotePrefix="0" xfId="0">
      <alignment horizontal="center"/>
    </xf>
    <xf numFmtId="0" fontId="0" fillId="0" borderId="6" pivotButton="0" quotePrefix="0" xfId="0"/>
    <xf numFmtId="0" fontId="4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2" fontId="4" fillId="3" borderId="4" applyAlignment="1" pivotButton="0" quotePrefix="0" xfId="0">
      <alignment horizontal="center" vertical="center"/>
    </xf>
    <xf numFmtId="4" fontId="4" fillId="3" borderId="4" applyAlignment="1" pivotButton="0" quotePrefix="0" xfId="0">
      <alignment horizontal="center" vertical="center"/>
    </xf>
    <xf numFmtId="4" fontId="4" fillId="3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49" fontId="4" fillId="0" borderId="2" applyAlignment="1" pivotButton="0" quotePrefix="0" xfId="0">
      <alignment horizontal="center"/>
    </xf>
    <xf numFmtId="49" fontId="4" fillId="0" borderId="4" applyAlignment="1" pivotButton="0" quotePrefix="0" xfId="0">
      <alignment horizontal="center"/>
    </xf>
    <xf numFmtId="49" fontId="4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2" fillId="0" borderId="3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4" fillId="0" borderId="3" applyAlignment="1" pivotButton="0" quotePrefix="0" xfId="0">
      <alignment horizontal="center" wrapText="1"/>
    </xf>
    <xf numFmtId="14" fontId="4" fillId="2" borderId="2" applyAlignment="1" pivotButton="0" quotePrefix="0" xfId="0">
      <alignment horizontal="center"/>
    </xf>
    <xf numFmtId="14" fontId="4" fillId="2" borderId="4" applyAlignment="1" pivotButton="0" quotePrefix="0" xfId="0">
      <alignment horizontal="center"/>
    </xf>
    <xf numFmtId="14" fontId="4" fillId="2" borderId="6" applyAlignment="1" pivotButton="0" quotePrefix="0" xfId="0">
      <alignment horizontal="center"/>
    </xf>
    <xf numFmtId="14" fontId="4" fillId="2" borderId="2" applyAlignment="1" pivotButton="0" quotePrefix="0" xfId="2">
      <alignment horizontal="center"/>
    </xf>
    <xf numFmtId="14" fontId="4" fillId="2" borderId="4" applyAlignment="1" pivotButton="0" quotePrefix="0" xfId="2">
      <alignment horizontal="center"/>
    </xf>
    <xf numFmtId="14" fontId="4" fillId="2" borderId="6" applyAlignment="1" pivotButton="0" quotePrefix="0" xfId="2">
      <alignment horizontal="center"/>
    </xf>
    <xf numFmtId="0" fontId="4" fillId="3" borderId="2" applyAlignment="1" pivotButton="0" quotePrefix="0" xfId="0">
      <alignment horizontal="center" vertical="center"/>
    </xf>
    <xf numFmtId="0" fontId="11" fillId="3" borderId="4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 vertical="top"/>
    </xf>
    <xf numFmtId="0" fontId="10" fillId="2" borderId="0" applyAlignment="1" pivotButton="0" quotePrefix="0" xfId="2">
      <alignment horizontal="left" vertical="top"/>
    </xf>
    <xf numFmtId="49" fontId="10" fillId="2" borderId="1" applyAlignment="1" pivotButton="0" quotePrefix="0" xfId="2">
      <alignment horizontal="center" vertical="top"/>
    </xf>
    <xf numFmtId="49" fontId="10" fillId="2" borderId="0" applyAlignment="1" pivotButton="0" quotePrefix="0" xfId="2">
      <alignment horizontal="left" vertical="center"/>
    </xf>
    <xf numFmtId="0" fontId="10" fillId="0" borderId="0" applyAlignment="1" pivotButton="0" quotePrefix="0" xfId="0">
      <alignment horizontal="left" vertical="top"/>
    </xf>
    <xf numFmtId="49" fontId="10" fillId="0" borderId="1" applyAlignment="1" pivotButton="0" quotePrefix="0" xfId="0">
      <alignment horizontal="center" vertical="top"/>
    </xf>
    <xf numFmtId="49" fontId="1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49" fontId="10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49" fontId="10" fillId="0" borderId="0" applyAlignment="1" pivotButton="0" quotePrefix="0" xfId="2">
      <alignment horizontal="left" vertical="center"/>
    </xf>
    <xf numFmtId="0" fontId="1" fillId="0" borderId="0" applyAlignment="1" pivotButton="0" quotePrefix="0" xfId="2">
      <alignment horizontal="left" vertical="center"/>
    </xf>
    <xf numFmtId="0" fontId="0" fillId="0" borderId="0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/>
    </xf>
    <xf numFmtId="2" fontId="8" fillId="3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4" fontId="8" fillId="0" borderId="2" applyAlignment="1" pivotButton="0" quotePrefix="0" xfId="0">
      <alignment horizontal="center" vertical="center"/>
    </xf>
    <xf numFmtId="4" fontId="8" fillId="0" borderId="4" applyAlignment="1" pivotButton="0" quotePrefix="0" xfId="0">
      <alignment horizontal="center" vertical="center"/>
    </xf>
    <xf numFmtId="4" fontId="8" fillId="0" borderId="6" applyAlignment="1" pivotButton="0" quotePrefix="0" xfId="0">
      <alignment horizontal="center" vertical="center"/>
    </xf>
    <xf numFmtId="0" fontId="16" fillId="0" borderId="2" applyAlignment="1" pivotButton="0" quotePrefix="0" xfId="1">
      <alignment horizontal="left" vertical="top" wrapText="1"/>
    </xf>
    <xf numFmtId="0" fontId="16" fillId="0" borderId="4" applyAlignment="1" pivotButton="0" quotePrefix="0" xfId="1">
      <alignment horizontal="left" vertical="top" wrapText="1"/>
    </xf>
    <xf numFmtId="0" fontId="16" fillId="0" borderId="6" applyAlignment="1" pivotButton="0" quotePrefix="0" xfId="1">
      <alignment horizontal="left" vertical="top" wrapText="1"/>
    </xf>
    <xf numFmtId="4" fontId="8" fillId="4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2" fontId="8" fillId="3" borderId="4" applyAlignment="1" pivotButton="0" quotePrefix="0" xfId="0">
      <alignment horizontal="center" vertical="center"/>
    </xf>
    <xf numFmtId="4" fontId="8" fillId="3" borderId="4" applyAlignment="1" pivotButton="0" quotePrefix="0" xfId="0">
      <alignment horizontal="center" vertical="center"/>
    </xf>
    <xf numFmtId="0" fontId="8" fillId="4" borderId="7" applyAlignment="1" pivotButton="0" quotePrefix="0" xfId="0">
      <alignment horizontal="left" vertical="center" wrapText="1"/>
    </xf>
    <xf numFmtId="0" fontId="0" fillId="4" borderId="4" applyAlignment="1" pivotButton="0" quotePrefix="0" xfId="0">
      <alignment horizontal="left" wrapText="1"/>
    </xf>
    <xf numFmtId="0" fontId="0" fillId="4" borderId="6" applyAlignment="1" pivotButton="0" quotePrefix="0" xfId="0">
      <alignment horizontal="left" wrapText="1"/>
    </xf>
    <xf numFmtId="2" fontId="8" fillId="0" borderId="7" applyAlignment="1" pivotButton="0" quotePrefix="0" xfId="0">
      <alignment horizontal="center" vertical="center"/>
    </xf>
    <xf numFmtId="2" fontId="8" fillId="0" borderId="12" applyAlignment="1" pivotButton="0" quotePrefix="0" xfId="0">
      <alignment horizontal="center" vertical="center"/>
    </xf>
    <xf numFmtId="2" fontId="8" fillId="0" borderId="13" applyAlignment="1" pivotButton="0" quotePrefix="0" xfId="0">
      <alignment horizontal="center" vertical="center"/>
    </xf>
    <xf numFmtId="2" fontId="8" fillId="0" borderId="14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8" fillId="0" borderId="15" applyAlignment="1" pivotButton="0" quotePrefix="0" xfId="0">
      <alignment horizontal="center" vertical="center"/>
    </xf>
    <xf numFmtId="4" fontId="8" fillId="3" borderId="12" applyAlignment="1" pivotButton="0" quotePrefix="0" xfId="0">
      <alignment horizontal="center" vertical="center"/>
    </xf>
    <xf numFmtId="0" fontId="27" fillId="0" borderId="0" applyAlignment="1" pivotButton="0" quotePrefix="0" xfId="4">
      <alignment vertical="top" wrapText="1"/>
    </xf>
    <xf numFmtId="0" fontId="23" fillId="6" borderId="39" applyAlignment="1" pivotButton="0" quotePrefix="0" xfId="4">
      <alignment vertical="top" wrapText="1"/>
    </xf>
    <xf numFmtId="0" fontId="33" fillId="5" borderId="39" applyAlignment="1" pivotButton="0" quotePrefix="0" xfId="4">
      <alignment horizontal="center" vertical="center" wrapText="1"/>
    </xf>
    <xf numFmtId="0" fontId="23" fillId="5" borderId="39" applyAlignment="1" pivotButton="0" quotePrefix="0" xfId="4">
      <alignment horizontal="center" vertical="center" wrapText="1"/>
    </xf>
    <xf numFmtId="0" fontId="3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49" fontId="3" fillId="0" borderId="3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" pivotButton="0" quotePrefix="0" xfId="0"/>
    <xf numFmtId="0" fontId="0" fillId="0" borderId="15" pivotButton="0" quotePrefix="0" xfId="0"/>
    <xf numFmtId="49" fontId="4" fillId="0" borderId="3" applyAlignment="1" pivotButton="0" quotePrefix="0" xfId="0">
      <alignment horizontal="center"/>
    </xf>
    <xf numFmtId="0" fontId="0" fillId="0" borderId="9" pivotButton="0" quotePrefix="0" xfId="0"/>
    <xf numFmtId="49" fontId="4" fillId="2" borderId="40" applyAlignment="1" pivotButton="0" quotePrefix="0" xfId="0">
      <alignment horizontal="center" vertical="center" wrapText="1"/>
    </xf>
    <xf numFmtId="0" fontId="0" fillId="0" borderId="17" pivotButton="0" quotePrefix="0" xfId="0"/>
    <xf numFmtId="0" fontId="2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14" fontId="4" fillId="2" borderId="3" applyAlignment="1" pivotButton="0" quotePrefix="0" xfId="0">
      <alignment horizontal="center"/>
    </xf>
    <xf numFmtId="14" fontId="4" fillId="2" borderId="3" applyAlignment="1" pivotButton="0" quotePrefix="0" xfId="2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4" fillId="3" borderId="2" applyAlignment="1" pivotButton="0" quotePrefix="0" xfId="5">
      <alignment horizontal="center" vertical="center"/>
    </xf>
    <xf numFmtId="0" fontId="11" fillId="3" borderId="4" applyAlignment="1" pivotButton="0" quotePrefix="0" xfId="5">
      <alignment horizontal="right" vertical="center"/>
    </xf>
    <xf numFmtId="0" fontId="8" fillId="3" borderId="4" applyAlignment="1" pivotButton="0" quotePrefix="0" xfId="5">
      <alignment vertical="center"/>
    </xf>
    <xf numFmtId="0" fontId="4" fillId="3" borderId="4" applyAlignment="1" pivotButton="0" quotePrefix="0" xfId="5">
      <alignment vertical="center"/>
    </xf>
    <xf numFmtId="0" fontId="4" fillId="3" borderId="4" applyAlignment="1" pivotButton="0" quotePrefix="0" xfId="5">
      <alignment horizontal="center" vertical="center" wrapText="1"/>
    </xf>
    <xf numFmtId="0" fontId="4" fillId="3" borderId="4" applyAlignment="1" pivotButton="0" quotePrefix="0" xfId="5">
      <alignment horizontal="center" vertical="center"/>
    </xf>
    <xf numFmtId="2" fontId="4" fillId="3" borderId="4" applyAlignment="1" pivotButton="0" quotePrefix="0" xfId="5">
      <alignment horizontal="center" vertical="center"/>
    </xf>
    <xf numFmtId="4" fontId="4" fillId="3" borderId="6" applyAlignment="1" pivotButton="0" quotePrefix="0" xfId="5">
      <alignment horizontal="center" vertical="center"/>
    </xf>
    <xf numFmtId="0" fontId="4" fillId="0" borderId="0" applyAlignment="1" pivotButton="0" quotePrefix="0" xfId="5">
      <alignment horizontal="left" vertical="center"/>
    </xf>
    <xf numFmtId="0" fontId="0" fillId="0" borderId="0" pivotButton="0" quotePrefix="0" xfId="5"/>
    <xf numFmtId="0" fontId="4" fillId="0" borderId="0" applyAlignment="1" pivotButton="0" quotePrefix="0" xfId="5">
      <alignment horizontal="right" vertical="center"/>
    </xf>
    <xf numFmtId="0" fontId="4" fillId="8" borderId="7" applyAlignment="1" pivotButton="0" quotePrefix="0" xfId="5">
      <alignment horizontal="center" vertical="center"/>
    </xf>
    <xf numFmtId="0" fontId="8" fillId="8" borderId="12" applyAlignment="1" pivotButton="0" quotePrefix="0" xfId="5">
      <alignment horizontal="left" vertical="center"/>
    </xf>
    <xf numFmtId="0" fontId="11" fillId="8" borderId="4" applyAlignment="1" pivotButton="0" quotePrefix="0" xfId="5">
      <alignment horizontal="right" vertical="center"/>
    </xf>
    <xf numFmtId="0" fontId="8" fillId="8" borderId="4" applyAlignment="1" pivotButton="0" quotePrefix="0" xfId="5">
      <alignment vertical="center"/>
    </xf>
    <xf numFmtId="0" fontId="4" fillId="8" borderId="12" applyAlignment="1" pivotButton="0" quotePrefix="0" xfId="5">
      <alignment vertical="center"/>
    </xf>
    <xf numFmtId="0" fontId="4" fillId="8" borderId="4" applyAlignment="1" pivotButton="0" quotePrefix="0" xfId="5">
      <alignment horizontal="center" vertical="center" wrapText="1"/>
    </xf>
    <xf numFmtId="0" fontId="4" fillId="8" borderId="4" applyAlignment="1" pivotButton="0" quotePrefix="0" xfId="5">
      <alignment horizontal="center" vertical="center"/>
    </xf>
    <xf numFmtId="2" fontId="4" fillId="8" borderId="4" applyAlignment="1" pivotButton="0" quotePrefix="0" xfId="5">
      <alignment horizontal="center" vertical="center"/>
    </xf>
    <xf numFmtId="4" fontId="4" fillId="8" borderId="4" applyAlignment="1" pivotButton="0" quotePrefix="0" xfId="5">
      <alignment horizontal="center" vertical="center"/>
    </xf>
    <xf numFmtId="4" fontId="4" fillId="8" borderId="6" applyAlignment="1" pivotButton="0" quotePrefix="0" xfId="5">
      <alignment horizontal="center" vertical="center"/>
    </xf>
    <xf numFmtId="0" fontId="8" fillId="4" borderId="8" applyAlignment="1" pivotButton="0" quotePrefix="0" xfId="5">
      <alignment horizontal="center" vertical="center"/>
    </xf>
    <xf numFmtId="0" fontId="8" fillId="4" borderId="3" applyAlignment="1" pivotButton="0" quotePrefix="0" xfId="5">
      <alignment horizontal="left" vertical="center" wrapText="1"/>
    </xf>
    <xf numFmtId="0" fontId="8" fillId="4" borderId="3" applyAlignment="1" pivotButton="0" quotePrefix="0" xfId="5">
      <alignment vertical="center" wrapText="1"/>
    </xf>
    <xf numFmtId="0" fontId="8" fillId="4" borderId="7" applyAlignment="1" pivotButton="0" quotePrefix="0" xfId="5">
      <alignment horizontal="right" vertical="center"/>
    </xf>
    <xf numFmtId="0" fontId="8" fillId="4" borderId="13" applyAlignment="1" pivotButton="0" quotePrefix="0" xfId="5">
      <alignment horizontal="center" vertical="center"/>
    </xf>
    <xf numFmtId="2" fontId="8" fillId="0" borderId="3" applyAlignment="1" pivotButton="0" quotePrefix="0" xfId="5">
      <alignment horizontal="center" vertical="center"/>
    </xf>
    <xf numFmtId="4" fontId="8" fillId="4" borderId="3" applyAlignment="1" pivotButton="0" quotePrefix="0" xfId="5">
      <alignment horizontal="center" vertical="center"/>
    </xf>
    <xf numFmtId="4" fontId="0" fillId="4" borderId="3" applyAlignment="1" pivotButton="0" quotePrefix="0" xfId="5">
      <alignment horizontal="center" vertical="center"/>
    </xf>
    <xf numFmtId="0" fontId="0" fillId="4" borderId="3" applyAlignment="1" pivotButton="0" quotePrefix="0" xfId="5">
      <alignment horizontal="center" vertical="center"/>
    </xf>
    <xf numFmtId="49" fontId="4" fillId="0" borderId="2" applyAlignment="1" pivotButton="0" quotePrefix="0" xfId="5">
      <alignment horizontal="center" vertical="center"/>
    </xf>
    <xf numFmtId="0" fontId="16" fillId="0" borderId="6" applyAlignment="1" pivotButton="0" quotePrefix="0" xfId="5">
      <alignment horizontal="left" vertical="top" wrapText="1"/>
    </xf>
    <xf numFmtId="0" fontId="16" fillId="0" borderId="3" applyAlignment="1" pivotButton="0" quotePrefix="0" xfId="5">
      <alignment horizontal="left" vertical="top" wrapText="1"/>
    </xf>
    <xf numFmtId="0" fontId="9" fillId="0" borderId="2" applyAlignment="1" pivotButton="0" quotePrefix="0" xfId="5">
      <alignment vertical="center" wrapText="1"/>
    </xf>
    <xf numFmtId="0" fontId="8" fillId="0" borderId="2" applyAlignment="1" pivotButton="0" quotePrefix="0" xfId="5">
      <alignment horizontal="right" vertical="center"/>
    </xf>
    <xf numFmtId="0" fontId="9" fillId="0" borderId="6" applyAlignment="1" pivotButton="0" quotePrefix="0" xfId="5">
      <alignment horizontal="center" vertical="center"/>
    </xf>
    <xf numFmtId="4" fontId="8" fillId="0" borderId="3" applyAlignment="1" pivotButton="0" quotePrefix="0" xfId="5">
      <alignment horizontal="center" vertical="center"/>
    </xf>
    <xf numFmtId="4" fontId="0" fillId="0" borderId="3" applyAlignment="1" pivotButton="0" quotePrefix="0" xfId="5">
      <alignment horizontal="center" vertical="center"/>
    </xf>
    <xf numFmtId="164" fontId="0" fillId="0" borderId="3" applyAlignment="1" pivotButton="0" quotePrefix="0" xfId="5">
      <alignment horizontal="center" vertical="center"/>
    </xf>
    <xf numFmtId="0" fontId="8" fillId="3" borderId="4" applyAlignment="1" pivotButton="0" quotePrefix="0" xfId="5">
      <alignment horizontal="center" vertical="center"/>
    </xf>
    <xf numFmtId="0" fontId="8" fillId="3" borderId="4" applyAlignment="1" pivotButton="0" quotePrefix="0" xfId="5">
      <alignment horizontal="right" vertical="center"/>
    </xf>
    <xf numFmtId="2" fontId="8" fillId="3" borderId="4" applyAlignment="1" pivotButton="0" quotePrefix="0" xfId="5">
      <alignment horizontal="center" vertical="center" wrapText="1"/>
    </xf>
    <xf numFmtId="2" fontId="8" fillId="3" borderId="4" applyAlignment="1" pivotButton="0" quotePrefix="0" xfId="5">
      <alignment horizontal="center" vertical="center"/>
    </xf>
    <xf numFmtId="4" fontId="8" fillId="3" borderId="4" applyAlignment="1" pivotButton="0" quotePrefix="0" xfId="5">
      <alignment horizontal="center" vertical="center"/>
    </xf>
    <xf numFmtId="4" fontId="4" fillId="3" borderId="4" applyAlignment="1" pivotButton="0" quotePrefix="0" xfId="5">
      <alignment horizontal="center" vertical="center"/>
    </xf>
    <xf numFmtId="0" fontId="8" fillId="4" borderId="3" applyAlignment="1" pivotButton="0" quotePrefix="0" xfId="0">
      <alignment horizontal="left" vertical="center" wrapText="1"/>
    </xf>
    <xf numFmtId="2" fontId="8" fillId="0" borderId="3" applyAlignment="1" pivotButton="0" quotePrefix="0" xfId="0">
      <alignment horizontal="center" vertical="center"/>
    </xf>
    <xf numFmtId="0" fontId="16" fillId="0" borderId="6" applyAlignment="1" pivotButton="0" quotePrefix="0" xfId="0">
      <alignment horizontal="left" vertical="top" wrapText="1"/>
    </xf>
    <xf numFmtId="0" fontId="16" fillId="0" borderId="3" applyAlignment="1" pivotButton="0" quotePrefix="0" xfId="0">
      <alignment horizontal="left" vertical="top" wrapText="1"/>
    </xf>
    <xf numFmtId="0" fontId="9" fillId="0" borderId="2" applyAlignment="1" pivotButton="0" quotePrefix="0" xfId="0">
      <alignment vertical="center" wrapText="1"/>
    </xf>
    <xf numFmtId="0" fontId="9" fillId="0" borderId="6" applyAlignment="1" pivotButton="0" quotePrefix="0" xfId="0">
      <alignment horizontal="center" vertical="center"/>
    </xf>
    <xf numFmtId="4" fontId="8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4" fontId="19" fillId="0" borderId="0" applyAlignment="1" pivotButton="0" quotePrefix="0" xfId="0">
      <alignment vertical="top"/>
    </xf>
    <xf numFmtId="0" fontId="10" fillId="2" borderId="0" applyAlignment="1" pivotButton="0" quotePrefix="0" xfId="0">
      <alignment horizontal="left" vertical="top"/>
    </xf>
    <xf numFmtId="49" fontId="10" fillId="2" borderId="1" applyAlignment="1" pivotButton="0" quotePrefix="0" xfId="0">
      <alignment horizontal="center" vertical="top"/>
    </xf>
    <xf numFmtId="49" fontId="10" fillId="2" borderId="0" applyAlignment="1" pivotButton="0" quotePrefix="0" xfId="0">
      <alignment horizontal="center" vertical="top"/>
    </xf>
    <xf numFmtId="49" fontId="10" fillId="2" borderId="0" applyAlignment="1" pivotButton="0" quotePrefix="0" xfId="0">
      <alignment horizontal="left" vertical="center"/>
    </xf>
    <xf numFmtId="49" fontId="1" fillId="0" borderId="43" applyAlignment="1" pivotButton="0" quotePrefix="0" xfId="0">
      <alignment horizontal="center"/>
    </xf>
    <xf numFmtId="0" fontId="0" fillId="0" borderId="37" pivotButton="0" quotePrefix="0" xfId="0"/>
    <xf numFmtId="0" fontId="0" fillId="0" borderId="36" pivotButton="0" quotePrefix="0" xfId="0"/>
    <xf numFmtId="49" fontId="1" fillId="0" borderId="4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5" pivotButton="0" quotePrefix="0" xfId="0"/>
    <xf numFmtId="0" fontId="0" fillId="0" borderId="34" pivotButton="0" quotePrefix="0" xfId="0"/>
    <xf numFmtId="49" fontId="1" fillId="0" borderId="42" applyAlignment="1" pivotButton="0" quotePrefix="0" xfId="0">
      <alignment horizontal="center"/>
    </xf>
    <xf numFmtId="49" fontId="1" fillId="0" borderId="44" applyAlignment="1" pivotButton="0" quotePrefix="0" xfId="0">
      <alignment horizontal="center"/>
    </xf>
    <xf numFmtId="0" fontId="0" fillId="0" borderId="30" pivotButton="0" quotePrefix="0" xfId="0"/>
    <xf numFmtId="49" fontId="1" fillId="2" borderId="46" applyAlignment="1" pivotButton="0" quotePrefix="0" xfId="0">
      <alignment horizontal="center" vertical="center" wrapText="1"/>
    </xf>
    <xf numFmtId="0" fontId="0" fillId="0" borderId="28" pivotButton="0" quotePrefix="0" xfId="0"/>
    <xf numFmtId="49" fontId="1" fillId="0" borderId="45" applyAlignment="1" pivotButton="0" quotePrefix="0" xfId="0">
      <alignment horizontal="center"/>
    </xf>
    <xf numFmtId="0" fontId="0" fillId="0" borderId="24" pivotButton="0" quotePrefix="0" xfId="0"/>
    <xf numFmtId="0" fontId="0" fillId="0" borderId="23" pivotButton="0" quotePrefix="0" xfId="0"/>
    <xf numFmtId="0" fontId="0" fillId="0" borderId="20" pivotButton="0" quotePrefix="0" xfId="0"/>
    <xf numFmtId="0" fontId="0" fillId="0" borderId="19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165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right" vertical="center"/>
    </xf>
    <xf numFmtId="0" fontId="1" fillId="0" borderId="13" applyAlignment="1" pivotButton="0" quotePrefix="0" xfId="0">
      <alignment horizontal="right" vertical="center"/>
    </xf>
    <xf numFmtId="4" fontId="1" fillId="0" borderId="3" applyAlignment="1" pivotButton="0" quotePrefix="0" xfId="0">
      <alignment horizontal="right" vertical="center"/>
    </xf>
    <xf numFmtId="4" fontId="1" fillId="0" borderId="3" applyAlignment="1" pivotButton="0" quotePrefix="0" xfId="0">
      <alignment horizontal="right" vertical="center" wrapText="1"/>
    </xf>
  </cellXfs>
  <cellStyles count="6">
    <cellStyle name="Обычный" xfId="0" builtinId="0"/>
    <cellStyle name="Обычный 2" xfId="1"/>
    <cellStyle name="Обычный 3" xfId="2"/>
    <cellStyle name="Финансовый" xfId="3" builtinId="3"/>
    <cellStyle name="Обычный 4" xfId="4"/>
    <cellStyle name="Normal" xfId="5" builtinId="0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&#1057;&#1087;&#1077;&#1094;&#1080;&#1092;&#1080;&#1082;&#1072;&#1094;&#1080;&#1103;%20&#1082;%20&#1079;&#1072;&#1082;&#1088;&#1099;&#1090;&#1080;&#1102;%20&#1074;&#1080;&#1090;&#1088;&#1072;&#1078;&#1080;%20&#1072;&#1083;&#1102;&#1084;%20&#1051;4%20&#1056;&#1077;&#1078;&#1080;&#1089;&#1089;&#1105;&#1088;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Расшифровка по КП"/>
    </sheetNames>
    <sheetDataSet>
      <sheetData sheetId="0">
        <row r="5">
          <cell r="B5" t="str">
            <v>А</v>
          </cell>
          <cell r="C5" t="str">
            <v>Вн-6</v>
          </cell>
          <cell r="J5">
            <v>3</v>
          </cell>
          <cell r="K5">
            <v>59.76</v>
          </cell>
        </row>
        <row r="6">
          <cell r="B6" t="str">
            <v>А</v>
          </cell>
          <cell r="C6" t="str">
            <v>Вн-8</v>
          </cell>
          <cell r="J6">
            <v>1</v>
          </cell>
          <cell r="K6">
            <v>12.34</v>
          </cell>
        </row>
        <row r="7">
          <cell r="B7" t="str">
            <v>А</v>
          </cell>
          <cell r="C7" t="str">
            <v>Вн-15</v>
          </cell>
          <cell r="J7">
            <v>1</v>
          </cell>
          <cell r="K7">
            <v>5.62</v>
          </cell>
        </row>
        <row r="8">
          <cell r="B8" t="str">
            <v>А</v>
          </cell>
          <cell r="C8" t="str">
            <v>Вн-14</v>
          </cell>
          <cell r="J8">
            <v>1</v>
          </cell>
          <cell r="K8">
            <v>11.14</v>
          </cell>
        </row>
        <row r="9">
          <cell r="B9" t="str">
            <v>Б</v>
          </cell>
          <cell r="C9" t="str">
            <v>Вн-6</v>
          </cell>
          <cell r="J9">
            <v>1</v>
          </cell>
          <cell r="K9">
            <v>19.39</v>
          </cell>
        </row>
        <row r="10">
          <cell r="B10" t="str">
            <v>Б</v>
          </cell>
          <cell r="C10" t="str">
            <v>Вн-17</v>
          </cell>
          <cell r="J10">
            <v>1</v>
          </cell>
          <cell r="K10">
            <v>19.489999999999998</v>
          </cell>
        </row>
        <row r="11">
          <cell r="B11" t="str">
            <v>Б</v>
          </cell>
          <cell r="C11" t="str">
            <v>Вн-6</v>
          </cell>
          <cell r="J11">
            <v>1</v>
          </cell>
          <cell r="K11">
            <v>19.489999999999998</v>
          </cell>
        </row>
        <row r="12">
          <cell r="B12" t="str">
            <v>Б</v>
          </cell>
          <cell r="C12" t="str">
            <v>Вн-15</v>
          </cell>
          <cell r="J12">
            <v>1</v>
          </cell>
          <cell r="K12">
            <v>6</v>
          </cell>
        </row>
        <row r="13">
          <cell r="B13" t="str">
            <v>Б</v>
          </cell>
          <cell r="C13" t="str">
            <v>Вн-18</v>
          </cell>
          <cell r="J13">
            <v>1</v>
          </cell>
          <cell r="K13">
            <v>11.9</v>
          </cell>
        </row>
        <row r="14">
          <cell r="B14" t="str">
            <v>Б</v>
          </cell>
          <cell r="C14" t="str">
            <v>Вн-6</v>
          </cell>
          <cell r="J14">
            <v>1</v>
          </cell>
          <cell r="K14">
            <v>19.579999999999998</v>
          </cell>
        </row>
        <row r="15">
          <cell r="B15" t="str">
            <v>В</v>
          </cell>
          <cell r="C15" t="str">
            <v>Вн-6</v>
          </cell>
          <cell r="J15">
            <v>1</v>
          </cell>
          <cell r="K15">
            <v>19.63</v>
          </cell>
        </row>
        <row r="16">
          <cell r="B16" t="str">
            <v>В</v>
          </cell>
          <cell r="C16" t="str">
            <v>Вн-16</v>
          </cell>
          <cell r="J16">
            <v>1</v>
          </cell>
          <cell r="K16">
            <v>5.95</v>
          </cell>
        </row>
        <row r="17">
          <cell r="B17" t="str">
            <v>В</v>
          </cell>
          <cell r="C17" t="str">
            <v>Вн-19</v>
          </cell>
          <cell r="J17">
            <v>2</v>
          </cell>
          <cell r="K17">
            <v>24.67</v>
          </cell>
        </row>
        <row r="18">
          <cell r="B18" t="str">
            <v>Г</v>
          </cell>
          <cell r="C18" t="str">
            <v>Вн-10</v>
          </cell>
          <cell r="J18">
            <v>1</v>
          </cell>
          <cell r="K18">
            <v>20.16</v>
          </cell>
        </row>
        <row r="19">
          <cell r="B19" t="str">
            <v>Д</v>
          </cell>
          <cell r="C19" t="str">
            <v>Вн-9</v>
          </cell>
          <cell r="J19">
            <v>1</v>
          </cell>
          <cell r="K19">
            <v>19.68</v>
          </cell>
        </row>
        <row r="20">
          <cell r="B20" t="str">
            <v>Д</v>
          </cell>
          <cell r="C20" t="str">
            <v>Вн-17</v>
          </cell>
          <cell r="J20">
            <v>1</v>
          </cell>
          <cell r="K20">
            <v>18.14</v>
          </cell>
        </row>
        <row r="21">
          <cell r="B21" t="str">
            <v>Д</v>
          </cell>
          <cell r="C21" t="str">
            <v>Вн-6</v>
          </cell>
          <cell r="J21">
            <v>1</v>
          </cell>
          <cell r="K21">
            <v>19.87</v>
          </cell>
        </row>
        <row r="22">
          <cell r="B22" t="str">
            <v>Д</v>
          </cell>
          <cell r="C22" t="str">
            <v>Вн-7</v>
          </cell>
          <cell r="J22">
            <v>1</v>
          </cell>
          <cell r="K22">
            <v>19.97</v>
          </cell>
        </row>
        <row r="23">
          <cell r="B23" t="str">
            <v>Д</v>
          </cell>
          <cell r="C23" t="str">
            <v>Вн-6</v>
          </cell>
          <cell r="J23">
            <v>1</v>
          </cell>
          <cell r="K23">
            <v>20.11</v>
          </cell>
        </row>
        <row r="24">
          <cell r="B24" t="str">
            <v>А</v>
          </cell>
          <cell r="C24" t="str">
            <v>Вн-22</v>
          </cell>
          <cell r="J24">
            <v>5</v>
          </cell>
          <cell r="K24">
            <v>28.57</v>
          </cell>
        </row>
        <row r="25">
          <cell r="B25" t="str">
            <v>Б</v>
          </cell>
          <cell r="C25" t="str">
            <v>Вн-22</v>
          </cell>
          <cell r="J25">
            <v>5</v>
          </cell>
          <cell r="K25">
            <v>28.57</v>
          </cell>
        </row>
        <row r="26">
          <cell r="B26" t="str">
            <v>В</v>
          </cell>
          <cell r="C26" t="str">
            <v>Вн-22</v>
          </cell>
          <cell r="J26">
            <v>1</v>
          </cell>
          <cell r="K26">
            <v>5.71</v>
          </cell>
        </row>
        <row r="27">
          <cell r="B27" t="str">
            <v>В</v>
          </cell>
          <cell r="C27" t="str">
            <v>Вн-13</v>
          </cell>
          <cell r="J27">
            <v>1</v>
          </cell>
          <cell r="K27">
            <v>14.74</v>
          </cell>
        </row>
        <row r="28">
          <cell r="B28" t="str">
            <v>А</v>
          </cell>
          <cell r="C28" t="str">
            <v>Вн-6</v>
          </cell>
          <cell r="J28">
            <v>1</v>
          </cell>
          <cell r="K28">
            <v>19.82</v>
          </cell>
        </row>
        <row r="29">
          <cell r="B29" t="str">
            <v>Г</v>
          </cell>
          <cell r="C29" t="str">
            <v>Вн-17</v>
          </cell>
          <cell r="J29">
            <v>1</v>
          </cell>
          <cell r="K29">
            <v>19.82</v>
          </cell>
        </row>
        <row r="30">
          <cell r="B30" t="str">
            <v>Г</v>
          </cell>
          <cell r="C30" t="str">
            <v>Вн-21</v>
          </cell>
          <cell r="J30">
            <v>1</v>
          </cell>
          <cell r="K30">
            <v>14.02</v>
          </cell>
        </row>
        <row r="31">
          <cell r="B31" t="str">
            <v>Г</v>
          </cell>
          <cell r="C31" t="str">
            <v>Вн-6</v>
          </cell>
          <cell r="J31">
            <v>1</v>
          </cell>
          <cell r="K31">
            <v>20.45</v>
          </cell>
        </row>
        <row r="32">
          <cell r="B32" t="str">
            <v>Г</v>
          </cell>
          <cell r="C32" t="str">
            <v>Вн-20</v>
          </cell>
          <cell r="J32">
            <v>1</v>
          </cell>
          <cell r="K32">
            <v>18.43</v>
          </cell>
        </row>
        <row r="33">
          <cell r="B33" t="str">
            <v>Г</v>
          </cell>
          <cell r="C33" t="str">
            <v>Вн-12</v>
          </cell>
          <cell r="J33">
            <v>1</v>
          </cell>
          <cell r="K33">
            <v>15.6</v>
          </cell>
        </row>
        <row r="34">
          <cell r="B34" t="str">
            <v>Г</v>
          </cell>
          <cell r="C34" t="str">
            <v>Вн-11</v>
          </cell>
          <cell r="J34">
            <v>1</v>
          </cell>
          <cell r="K34">
            <v>11.09</v>
          </cell>
        </row>
        <row r="35">
          <cell r="B35" t="str">
            <v>Б</v>
          </cell>
          <cell r="C35" t="str">
            <v>Вн-6</v>
          </cell>
          <cell r="J35">
            <v>1</v>
          </cell>
          <cell r="K35">
            <v>19.82</v>
          </cell>
        </row>
        <row r="36">
          <cell r="B36" t="str">
            <v>А</v>
          </cell>
          <cell r="C36" t="str">
            <v>Д17</v>
          </cell>
          <cell r="J36">
            <v>3</v>
          </cell>
          <cell r="K36">
            <v>9.75</v>
          </cell>
        </row>
        <row r="37">
          <cell r="B37" t="str">
            <v>А</v>
          </cell>
          <cell r="C37" t="str">
            <v>Д17</v>
          </cell>
          <cell r="J37">
            <v>1</v>
          </cell>
          <cell r="K37">
            <v>3.25</v>
          </cell>
        </row>
        <row r="38">
          <cell r="B38" t="str">
            <v>А</v>
          </cell>
          <cell r="C38" t="str">
            <v>Д17</v>
          </cell>
          <cell r="J38">
            <v>1</v>
          </cell>
          <cell r="K38">
            <v>2.69</v>
          </cell>
        </row>
        <row r="39">
          <cell r="B39" t="str">
            <v>Б</v>
          </cell>
          <cell r="C39" t="str">
            <v>Д17</v>
          </cell>
          <cell r="J39">
            <v>3</v>
          </cell>
          <cell r="K39">
            <v>9.75</v>
          </cell>
        </row>
        <row r="40">
          <cell r="B40" t="str">
            <v>Б</v>
          </cell>
          <cell r="C40" t="str">
            <v>Д17</v>
          </cell>
          <cell r="J40">
            <v>1</v>
          </cell>
          <cell r="K40">
            <v>3.25</v>
          </cell>
        </row>
        <row r="41">
          <cell r="B41" t="str">
            <v>Б</v>
          </cell>
          <cell r="C41" t="str">
            <v>Д17</v>
          </cell>
          <cell r="J41">
            <v>1</v>
          </cell>
          <cell r="K41">
            <v>2.89</v>
          </cell>
        </row>
        <row r="42">
          <cell r="B42" t="str">
            <v>В</v>
          </cell>
          <cell r="C42" t="str">
            <v>Д17</v>
          </cell>
          <cell r="J42">
            <v>1</v>
          </cell>
          <cell r="K42">
            <v>3.25</v>
          </cell>
        </row>
        <row r="43">
          <cell r="B43" t="str">
            <v>В</v>
          </cell>
          <cell r="C43" t="str">
            <v>Д17</v>
          </cell>
          <cell r="J43">
            <v>2</v>
          </cell>
          <cell r="K43">
            <v>6.5</v>
          </cell>
        </row>
        <row r="44">
          <cell r="B44" t="str">
            <v>В</v>
          </cell>
          <cell r="C44" t="str">
            <v>Д35</v>
          </cell>
          <cell r="J44">
            <v>1</v>
          </cell>
          <cell r="K44">
            <v>2.86</v>
          </cell>
        </row>
        <row r="45">
          <cell r="B45" t="str">
            <v>Г</v>
          </cell>
          <cell r="C45" t="str">
            <v>Д17</v>
          </cell>
          <cell r="J45">
            <v>1</v>
          </cell>
          <cell r="K45">
            <v>3.25</v>
          </cell>
        </row>
        <row r="46">
          <cell r="B46" t="str">
            <v>Д</v>
          </cell>
          <cell r="C46" t="str">
            <v>Д17</v>
          </cell>
          <cell r="J46">
            <v>2</v>
          </cell>
          <cell r="K46">
            <v>6.5</v>
          </cell>
        </row>
        <row r="47">
          <cell r="B47" t="str">
            <v>Д</v>
          </cell>
          <cell r="C47" t="str">
            <v>Д17</v>
          </cell>
          <cell r="J47">
            <v>1</v>
          </cell>
          <cell r="K47">
            <v>3.25</v>
          </cell>
        </row>
        <row r="48">
          <cell r="K48">
            <v>626.72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4" tint="0.3999755851924192"/>
    <outlinePr summaryBelow="1" summaryRight="1"/>
    <pageSetUpPr fitToPage="1"/>
  </sheetPr>
  <dimension ref="A1:AR217"/>
  <sheetViews>
    <sheetView topLeftCell="A110" zoomScaleNormal="100" zoomScaleSheetLayoutView="90" workbookViewId="0">
      <selection activeCell="AB120" sqref="AB120"/>
    </sheetView>
  </sheetViews>
  <sheetFormatPr baseColWidth="8" defaultColWidth="9.140625" defaultRowHeight="14.25" outlineLevelRow="1"/>
  <cols>
    <col width="5" customWidth="1" style="5" min="1" max="1"/>
    <col width="15.85546875" customWidth="1" style="5" min="2" max="2"/>
    <col width="9.85546875" customWidth="1" style="5" min="3" max="3"/>
    <col width="10.7109375" customWidth="1" style="5" min="4" max="4"/>
    <col width="11.85546875" customWidth="1" style="5" min="5" max="5"/>
    <col width="15.28515625" customWidth="1" style="5" min="6" max="6"/>
    <col width="10.42578125" customWidth="1" style="5" min="7" max="7"/>
    <col width="4.42578125" customWidth="1" style="5" min="8" max="8"/>
    <col width="7" customWidth="1" style="5" min="9" max="9"/>
    <col width="7.140625" customWidth="1" style="5" min="10" max="10"/>
    <col width="13" customWidth="1" style="5" min="11" max="11"/>
    <col width="6.28515625" customWidth="1" style="5" min="12" max="12"/>
    <col width="4.140625" customWidth="1" style="5" min="13" max="13"/>
    <col width="3.28515625" customWidth="1" style="5" min="14" max="14"/>
    <col width="2.28515625" customWidth="1" style="5" min="15" max="15"/>
    <col width="3.85546875" customWidth="1" style="5" min="16" max="16"/>
    <col hidden="1" width="1.28515625" customWidth="1" style="5" min="17" max="17"/>
    <col width="3.140625" customWidth="1" style="5" min="18" max="18"/>
    <col width="0.7109375" customWidth="1" style="5" min="19" max="19"/>
    <col width="2.5703125" customWidth="1" style="5" min="20" max="20"/>
    <col width="2" customWidth="1" style="5" min="21" max="21"/>
    <col width="3.5703125" customWidth="1" style="5" min="22" max="22"/>
    <col width="2.5703125" customWidth="1" style="5" min="23" max="23"/>
    <col width="1.42578125" customWidth="1" style="5" min="24" max="25"/>
    <col width="3.140625" customWidth="1" style="5" min="26" max="26"/>
    <col width="10" customWidth="1" style="5" min="27" max="27"/>
    <col width="11" customWidth="1" style="5" min="28" max="28"/>
    <col width="3.42578125" customWidth="1" style="5" min="29" max="29"/>
    <col width="4.5703125" customWidth="1" style="5" min="30" max="30"/>
    <col width="5.42578125" customWidth="1" style="5" min="31" max="31"/>
    <col width="11.140625" customWidth="1" style="5" min="32" max="32"/>
    <col width="14.5703125" customWidth="1" style="5" min="33" max="33"/>
    <col hidden="1" style="6" min="34" max="34"/>
    <col hidden="1" style="5" min="35" max="35"/>
    <col hidden="1" style="7" min="36" max="36"/>
    <col hidden="1" style="412" min="37" max="37"/>
    <col hidden="1" style="5" min="38" max="42"/>
    <col width="9.140625" customWidth="1" style="5" min="43" max="43"/>
    <col width="13.140625" bestFit="1" customWidth="1" style="5" min="44" max="44"/>
    <col width="9.140625" customWidth="1" style="5" min="45" max="45"/>
    <col width="13.5703125" bestFit="1" customWidth="1" style="5" min="46" max="46"/>
    <col width="9.140625" customWidth="1" style="5" min="47" max="16384"/>
  </cols>
  <sheetData>
    <row r="1" ht="12" customFormat="1" customHeight="1" s="1">
      <c r="L1" s="1" t="inlineStr">
        <is>
          <t xml:space="preserve"> </t>
        </is>
      </c>
      <c r="AG1" s="2" t="inlineStr">
        <is>
          <t>Унифицированная форма № КС- 2</t>
        </is>
      </c>
      <c r="AH1" s="3" t="n"/>
      <c r="AJ1" s="2" t="n"/>
      <c r="AK1" s="4" t="n"/>
    </row>
    <row r="2" ht="12" customFormat="1" customHeight="1" s="1">
      <c r="AG2" s="2" t="inlineStr">
        <is>
          <t>Утверждена постановлением Госкомстата России от 11.11.99 № 100</t>
        </is>
      </c>
      <c r="AH2" s="3" t="n"/>
      <c r="AJ2" s="2" t="n"/>
      <c r="AK2" s="4" t="n"/>
    </row>
    <row r="3">
      <c r="AC3" s="443" t="inlineStr">
        <is>
          <t>Код</t>
        </is>
      </c>
      <c r="AD3" s="444" t="n"/>
      <c r="AE3" s="444" t="n"/>
      <c r="AF3" s="444" t="n"/>
      <c r="AG3" s="341" t="n"/>
    </row>
    <row r="4" ht="15" customFormat="1" customHeight="1" s="8">
      <c r="V4" s="305" t="inlineStr">
        <is>
          <t xml:space="preserve">Форма по ОКУД </t>
        </is>
      </c>
      <c r="AB4" s="445" t="n"/>
      <c r="AC4" s="446" t="inlineStr">
        <is>
          <t>0322005</t>
        </is>
      </c>
      <c r="AD4" s="444" t="n"/>
      <c r="AE4" s="444" t="n"/>
      <c r="AF4" s="444" t="n"/>
      <c r="AG4" s="341" t="n"/>
      <c r="AH4" s="9" t="n"/>
      <c r="AJ4" s="10" t="n"/>
      <c r="AK4" s="11" t="n"/>
    </row>
    <row r="5" ht="11.25" customFormat="1" customHeight="1" s="12">
      <c r="W5" s="5" t="n"/>
      <c r="X5" s="5" t="n"/>
      <c r="Y5" s="5" t="n"/>
      <c r="Z5" s="5" t="n"/>
      <c r="AA5" s="5" t="n"/>
      <c r="AB5" s="5" t="n"/>
      <c r="AC5" s="446" t="inlineStr">
        <is>
          <t>26966415</t>
        </is>
      </c>
      <c r="AD5" s="447" t="n"/>
      <c r="AE5" s="447" t="n"/>
      <c r="AF5" s="447" t="n"/>
      <c r="AG5" s="448" t="n"/>
      <c r="AH5" s="13" t="n"/>
      <c r="AJ5" s="14" t="n"/>
      <c r="AK5" s="15" t="n"/>
    </row>
    <row r="6" ht="17.25" customFormat="1" customHeight="1" s="8">
      <c r="B6" s="7" t="inlineStr">
        <is>
          <t>Генподрядчик:</t>
        </is>
      </c>
      <c r="C6" s="36" t="inlineStr">
        <is>
          <t>ООО "Плутос" 350066, Россия, Краснодарский край, г.о. город Краснодар, г. Краснодар, ул. Бородинская, д.16, пом.217.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W6" s="5" t="n"/>
      <c r="X6" s="5" t="n"/>
      <c r="Y6" s="5" t="n"/>
      <c r="Z6" s="5" t="n"/>
      <c r="AA6" s="5" t="n"/>
      <c r="AB6" s="7" t="inlineStr">
        <is>
          <t xml:space="preserve">по ОКПО </t>
        </is>
      </c>
      <c r="AC6" s="449" t="n"/>
      <c r="AD6" s="450" t="n"/>
      <c r="AE6" s="450" t="n"/>
      <c r="AF6" s="450" t="n"/>
      <c r="AG6" s="451" t="n"/>
      <c r="AH6" s="9" t="n"/>
      <c r="AJ6" s="10" t="n"/>
      <c r="AK6" s="11" t="n"/>
    </row>
    <row r="7" ht="12" customFormat="1" customHeight="1" s="12">
      <c r="B7" s="5" t="n"/>
      <c r="F7" s="16" t="inlineStr">
        <is>
          <t>(организация, адрес, телефон, факс)</t>
        </is>
      </c>
      <c r="W7" s="5" t="n"/>
      <c r="X7" s="5" t="n"/>
      <c r="Y7" s="5" t="n"/>
      <c r="Z7" s="5" t="n"/>
      <c r="AA7" s="5" t="n"/>
      <c r="AB7" s="5" t="n"/>
      <c r="AC7" s="446" t="inlineStr">
        <is>
          <t>88975672</t>
        </is>
      </c>
      <c r="AD7" s="447" t="n"/>
      <c r="AE7" s="447" t="n"/>
      <c r="AF7" s="447" t="n"/>
      <c r="AG7" s="448" t="n"/>
      <c r="AH7" s="13" t="n"/>
      <c r="AJ7" s="14" t="n"/>
      <c r="AK7" s="15" t="n"/>
    </row>
    <row r="8" ht="17.25" customFormat="1" customHeight="1" s="8">
      <c r="B8" s="7" t="inlineStr">
        <is>
          <t>Подрядчик:</t>
        </is>
      </c>
      <c r="C8" s="54" t="inlineStr">
        <is>
          <t xml:space="preserve"> ООО «Новая оконная компания» ,  350090, г. Краснодар, проезд Репина,  д. 1, помещ. №175</t>
        </is>
      </c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17" t="n"/>
      <c r="P8" s="17" t="n"/>
      <c r="Q8" s="17" t="n"/>
      <c r="R8" s="17" t="n"/>
      <c r="W8" s="5" t="n"/>
      <c r="X8" s="5" t="n"/>
      <c r="Y8" s="5" t="n"/>
      <c r="Z8" s="5" t="n"/>
      <c r="AA8" s="5" t="n"/>
      <c r="AB8" s="7" t="inlineStr">
        <is>
          <t xml:space="preserve">по ОКПО </t>
        </is>
      </c>
      <c r="AC8" s="449" t="n"/>
      <c r="AD8" s="450" t="n"/>
      <c r="AE8" s="450" t="n"/>
      <c r="AF8" s="450" t="n"/>
      <c r="AG8" s="451" t="n"/>
      <c r="AH8" s="9" t="n"/>
      <c r="AJ8" s="10" t="n"/>
      <c r="AK8" s="11" t="n"/>
    </row>
    <row r="9" ht="12" customFormat="1" customHeight="1" s="12">
      <c r="B9" s="5" t="n"/>
      <c r="F9" s="16" t="inlineStr">
        <is>
          <t>(организация, адрес, телефон, факс)</t>
        </is>
      </c>
      <c r="AC9" s="452" t="n"/>
      <c r="AD9" s="447" t="n"/>
      <c r="AE9" s="447" t="n"/>
      <c r="AF9" s="447" t="n"/>
      <c r="AG9" s="448" t="n"/>
      <c r="AH9" s="13" t="n"/>
      <c r="AJ9" s="14" t="n"/>
      <c r="AK9" s="15" t="n"/>
    </row>
    <row r="10" ht="16.9" customFormat="1" customHeight="1" s="8">
      <c r="B10" s="304" t="inlineStr">
        <is>
          <t>Стройка:</t>
        </is>
      </c>
      <c r="C10" s="64" t="inlineStr">
        <is>
          <t xml:space="preserve">«Строительство многоэтажного жилого дома со встроенно-пристроенными помещениями и автостоянкой </t>
        </is>
      </c>
      <c r="D10" s="63" t="n"/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3" t="n"/>
      <c r="O10" s="69" t="n"/>
      <c r="P10" s="69" t="n"/>
      <c r="Q10" s="69" t="n"/>
      <c r="R10" s="69" t="n"/>
      <c r="S10" s="62" t="n"/>
      <c r="T10" s="62" t="n"/>
      <c r="U10" s="62" t="n"/>
      <c r="AA10" s="10" t="n"/>
      <c r="AB10" s="10" t="n"/>
      <c r="AC10" s="449" t="n"/>
      <c r="AD10" s="450" t="n"/>
      <c r="AE10" s="450" t="n"/>
      <c r="AF10" s="450" t="n"/>
      <c r="AG10" s="451" t="n"/>
      <c r="AH10" s="9" t="n"/>
      <c r="AJ10" s="10" t="n"/>
      <c r="AK10" s="11" t="n"/>
    </row>
    <row r="11" ht="16.9" customFormat="1" customHeight="1" s="12">
      <c r="B11" s="7" t="n"/>
      <c r="C11" s="67" t="inlineStr">
        <is>
          <t>по адресу: г.Краснодар, ул.Уральская, 100/8»</t>
        </is>
      </c>
      <c r="D11" s="65" t="n"/>
      <c r="E11" s="65" t="n"/>
      <c r="F11" s="65" t="n"/>
      <c r="G11" s="65" t="n"/>
      <c r="H11" s="65" t="n"/>
      <c r="I11" s="65" t="n"/>
      <c r="J11" s="65" t="n"/>
      <c r="K11" s="65" t="n"/>
      <c r="L11" s="65" t="n"/>
      <c r="M11" s="65" t="n"/>
      <c r="N11" s="68" t="n"/>
      <c r="O11" s="68" t="n"/>
      <c r="P11" s="68" t="n"/>
      <c r="Q11" s="68" t="n"/>
      <c r="R11" s="68" t="n"/>
      <c r="AC11" s="452" t="n"/>
      <c r="AD11" s="447" t="n"/>
      <c r="AE11" s="447" t="n"/>
      <c r="AF11" s="447" t="n"/>
      <c r="AG11" s="448" t="n"/>
      <c r="AH11" s="13" t="n"/>
      <c r="AJ11" s="14" t="n"/>
      <c r="AK11" s="15" t="n"/>
    </row>
    <row r="12" ht="12" customFormat="1" customHeight="1" s="12">
      <c r="B12" s="7" t="n"/>
      <c r="C12" s="8" t="n"/>
      <c r="F12" s="16" t="inlineStr">
        <is>
          <t>(наименование, адрес)</t>
        </is>
      </c>
      <c r="AC12" s="453" t="n"/>
      <c r="AG12" s="445" t="n"/>
      <c r="AH12" s="13" t="n"/>
      <c r="AJ12" s="14" t="n"/>
      <c r="AK12" s="15" t="n"/>
    </row>
    <row r="13" ht="16.9" customFormat="1" customHeight="1" s="8">
      <c r="B13" s="304" t="inlineStr">
        <is>
          <t>Объект:</t>
        </is>
      </c>
      <c r="C13" s="64" t="inlineStr">
        <is>
          <t xml:space="preserve">«Строительство многоэтажного жилого дома со встроенно-пристроенными помещениями и автостоянкой </t>
        </is>
      </c>
      <c r="D13" s="63" t="n"/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9" t="n"/>
      <c r="P13" s="69" t="n"/>
      <c r="Q13" s="69" t="n"/>
      <c r="R13" s="69" t="n"/>
      <c r="AC13" s="449" t="n"/>
      <c r="AD13" s="450" t="n"/>
      <c r="AE13" s="450" t="n"/>
      <c r="AF13" s="450" t="n"/>
      <c r="AG13" s="451" t="n"/>
      <c r="AH13" s="9" t="n"/>
      <c r="AJ13" s="10" t="n"/>
      <c r="AK13" s="11" t="n"/>
    </row>
    <row r="14" ht="16.9" customFormat="1" customHeight="1" s="12">
      <c r="C14" s="66" t="inlineStr">
        <is>
          <t>по адресу: г.Краснодар, ул.Уральская, 100/8»</t>
        </is>
      </c>
      <c r="D14" s="65" t="n"/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8" t="n"/>
      <c r="P14" s="68" t="n"/>
      <c r="Q14" s="68" t="n"/>
      <c r="R14" s="68" t="n"/>
      <c r="AC14" s="452" t="n"/>
      <c r="AD14" s="447" t="n"/>
      <c r="AE14" s="447" t="n"/>
      <c r="AF14" s="447" t="n"/>
      <c r="AG14" s="448" t="n"/>
      <c r="AH14" s="13" t="n"/>
      <c r="AJ14" s="14" t="n"/>
      <c r="AK14" s="15" t="n"/>
    </row>
    <row r="15" ht="10.9" customFormat="1" customHeight="1" s="8">
      <c r="B15" s="11" t="n"/>
      <c r="C15" s="41" t="n"/>
      <c r="D15" s="41" t="n"/>
      <c r="E15" s="41" t="n"/>
      <c r="F15" s="16" t="inlineStr">
        <is>
          <t>(наименование, адрес)</t>
        </is>
      </c>
      <c r="G15" s="16" t="n"/>
      <c r="H15" s="16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AC15" s="449" t="n"/>
      <c r="AD15" s="450" t="n"/>
      <c r="AE15" s="450" t="n"/>
      <c r="AF15" s="450" t="n"/>
      <c r="AG15" s="451" t="n"/>
      <c r="AH15" s="9" t="n"/>
      <c r="AJ15" s="10" t="n"/>
      <c r="AK15" s="11" t="n"/>
    </row>
    <row r="16" ht="10.5" customFormat="1" customHeight="1" s="12">
      <c r="M16" s="8" t="n"/>
      <c r="N16" s="8" t="n"/>
      <c r="Q16" s="335" t="inlineStr">
        <is>
          <t xml:space="preserve">Вид деятельности по ОКДП </t>
        </is>
      </c>
      <c r="AB16" s="445" t="n"/>
      <c r="AC16" s="452" t="n"/>
      <c r="AD16" s="447" t="n"/>
      <c r="AE16" s="447" t="n"/>
      <c r="AF16" s="447" t="n"/>
      <c r="AG16" s="448" t="n"/>
      <c r="AH16" s="13" t="n"/>
      <c r="AJ16" s="14" t="n"/>
      <c r="AK16" s="15" t="n"/>
    </row>
    <row r="17" ht="3.75" customHeight="1" s="285">
      <c r="M17" s="8" t="n"/>
      <c r="N17" s="8" t="n"/>
      <c r="AB17" s="445" t="n"/>
      <c r="AC17" s="449" t="n"/>
      <c r="AD17" s="450" t="n"/>
      <c r="AE17" s="450" t="n"/>
      <c r="AF17" s="450" t="n"/>
      <c r="AG17" s="451" t="n"/>
    </row>
    <row r="18" ht="25.5" customFormat="1" customHeight="1" s="8"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334" t="inlineStr">
        <is>
          <t>Договор подряда (контракт)</t>
        </is>
      </c>
      <c r="AB18" s="373" t="inlineStr">
        <is>
          <t xml:space="preserve">номер </t>
        </is>
      </c>
      <c r="AC18" s="454" t="inlineStr">
        <is>
          <t>01-25/РЖ-Л4-В</t>
        </is>
      </c>
      <c r="AD18" s="444" t="n"/>
      <c r="AE18" s="444" t="n"/>
      <c r="AF18" s="444" t="n"/>
      <c r="AG18" s="455" t="n"/>
      <c r="AH18" s="9" t="n"/>
      <c r="AJ18" s="10" t="n"/>
      <c r="AK18" s="11" t="n"/>
    </row>
    <row r="19" ht="12.75" customFormat="1" customHeight="1" s="8">
      <c r="AB19" s="373" t="inlineStr">
        <is>
          <t xml:space="preserve">дата </t>
        </is>
      </c>
      <c r="AC19" s="59" t="inlineStr">
        <is>
          <t>01</t>
        </is>
      </c>
      <c r="AD19" s="444" t="n"/>
      <c r="AE19" s="341" t="n"/>
      <c r="AF19" s="59" t="inlineStr">
        <is>
          <t>04</t>
        </is>
      </c>
      <c r="AG19" s="59" t="inlineStr">
        <is>
          <t>2025</t>
        </is>
      </c>
      <c r="AH19" s="9" t="n"/>
      <c r="AJ19" s="10" t="n"/>
      <c r="AK19" s="11" t="n"/>
    </row>
    <row r="20" ht="15" customFormat="1" customHeight="1" s="8">
      <c r="X20" s="349" t="inlineStr">
        <is>
          <t>Вид операции</t>
        </is>
      </c>
      <c r="AB20" s="445" t="n"/>
      <c r="AC20" s="452" t="n"/>
      <c r="AD20" s="444" t="n"/>
      <c r="AE20" s="444" t="n"/>
      <c r="AF20" s="444" t="n"/>
      <c r="AG20" s="341" t="n"/>
      <c r="AH20" s="9" t="n"/>
      <c r="AJ20" s="10" t="n"/>
      <c r="AK20" s="11" t="n"/>
    </row>
    <row r="21" ht="6.75" customHeight="1" s="285"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10" t="n"/>
      <c r="X21" s="10" t="n"/>
      <c r="Y21" s="10" t="n"/>
      <c r="Z21" s="10" t="n"/>
      <c r="AA21" s="10" t="n"/>
      <c r="AB21" s="10" t="n"/>
      <c r="AC21" s="8" t="n"/>
      <c r="AD21" s="8" t="n"/>
      <c r="AE21" s="8" t="n"/>
      <c r="AF21" s="8" t="n"/>
      <c r="AG21" s="8" t="n"/>
    </row>
    <row r="22" ht="12" customFormat="1" customHeight="1" s="1">
      <c r="N22" s="362" t="inlineStr">
        <is>
          <t>Номер документа</t>
        </is>
      </c>
      <c r="O22" s="447" t="n"/>
      <c r="P22" s="447" t="n"/>
      <c r="Q22" s="447" t="n"/>
      <c r="R22" s="448" t="n"/>
      <c r="S22" s="456" t="inlineStr">
        <is>
          <t>Дата составления</t>
        </is>
      </c>
      <c r="T22" s="447" t="n"/>
      <c r="U22" s="447" t="n"/>
      <c r="V22" s="447" t="n"/>
      <c r="W22" s="447" t="n"/>
      <c r="X22" s="447" t="n"/>
      <c r="Y22" s="448" t="n"/>
      <c r="Z22" s="457" t="inlineStr">
        <is>
          <t>Отчетный период</t>
        </is>
      </c>
      <c r="AA22" s="444" t="n"/>
      <c r="AB22" s="444" t="n"/>
      <c r="AC22" s="444" t="n"/>
      <c r="AD22" s="444" t="n"/>
      <c r="AE22" s="444" t="n"/>
      <c r="AF22" s="444" t="n"/>
      <c r="AG22" s="341" t="n"/>
      <c r="AH22" s="3" t="n"/>
      <c r="AJ22" s="2" t="n"/>
      <c r="AK22" s="4" t="n"/>
    </row>
    <row r="23" ht="15.75" customFormat="1" customHeight="1" s="1">
      <c r="K23" s="42" t="n"/>
      <c r="N23" s="449" t="n"/>
      <c r="O23" s="450" t="n"/>
      <c r="P23" s="450" t="n"/>
      <c r="Q23" s="450" t="n"/>
      <c r="R23" s="451" t="n"/>
      <c r="S23" s="449" t="n"/>
      <c r="T23" s="450" t="n"/>
      <c r="U23" s="450" t="n"/>
      <c r="V23" s="450" t="n"/>
      <c r="W23" s="450" t="n"/>
      <c r="X23" s="450" t="n"/>
      <c r="Y23" s="451" t="n"/>
      <c r="Z23" s="457" t="inlineStr">
        <is>
          <t>с</t>
        </is>
      </c>
      <c r="AA23" s="444" t="n"/>
      <c r="AB23" s="444" t="n"/>
      <c r="AC23" s="444" t="n"/>
      <c r="AD23" s="341" t="n"/>
      <c r="AE23" s="457" t="inlineStr">
        <is>
          <t>по</t>
        </is>
      </c>
      <c r="AF23" s="444" t="n"/>
      <c r="AG23" s="341" t="n"/>
      <c r="AH23" s="3" t="n"/>
      <c r="AJ23" s="2" t="n"/>
      <c r="AK23" s="4" t="n"/>
    </row>
    <row r="24" customFormat="1" s="8">
      <c r="A24" s="347" t="inlineStr">
        <is>
          <t>АКТ</t>
        </is>
      </c>
      <c r="N24" s="364" t="n">
        <v>1</v>
      </c>
      <c r="O24" s="444" t="n"/>
      <c r="P24" s="444" t="n"/>
      <c r="Q24" s="444" t="n"/>
      <c r="R24" s="341" t="n"/>
      <c r="S24" s="458" t="inlineStr">
        <is>
          <t>25.09.2026г.</t>
        </is>
      </c>
      <c r="T24" s="444" t="n"/>
      <c r="U24" s="444" t="n"/>
      <c r="V24" s="444" t="n"/>
      <c r="W24" s="444" t="n"/>
      <c r="X24" s="444" t="n"/>
      <c r="Y24" s="341" t="n"/>
      <c r="Z24" s="458" t="inlineStr">
        <is>
          <t>01.04.2025г.</t>
        </is>
      </c>
      <c r="AA24" s="444" t="n"/>
      <c r="AB24" s="444" t="n"/>
      <c r="AC24" s="444" t="n"/>
      <c r="AD24" s="341" t="n"/>
      <c r="AE24" s="459">
        <f>S24</f>
        <v/>
      </c>
      <c r="AF24" s="444" t="n"/>
      <c r="AG24" s="341" t="n"/>
      <c r="AH24" s="9" t="n"/>
      <c r="AJ24" s="10" t="n"/>
      <c r="AK24" s="11" t="n"/>
    </row>
    <row r="25" customFormat="1" s="8">
      <c r="A25" s="347" t="inlineStr">
        <is>
          <t>О ПРИЕМКЕ ВЫПОЛНЕННЫХ РАБОТ</t>
        </is>
      </c>
      <c r="N25" s="5" t="n"/>
      <c r="O25" s="5" t="n"/>
      <c r="P25" s="5" t="n"/>
      <c r="AH25" s="9" t="n"/>
      <c r="AJ25" s="10" t="n"/>
      <c r="AK25" s="11" t="n"/>
    </row>
    <row r="26" ht="8.25" customFormat="1" customHeight="1" s="8">
      <c r="C26" s="20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AH26" s="9" t="n"/>
      <c r="AJ26" s="10" t="n"/>
      <c r="AK26" s="11" t="n"/>
    </row>
    <row r="27" ht="15" customFormat="1" customHeight="1" s="8">
      <c r="C27" s="35" t="inlineStr">
        <is>
          <t>по изготовлению  и монтажу алюминиевых дверей и витражей (секция А, Б, В, Г, Д, Ж)</t>
        </is>
      </c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AH27" s="9" t="n"/>
      <c r="AJ27" s="10" t="n"/>
      <c r="AK27" s="11" t="n"/>
    </row>
    <row r="28" ht="9.75" customFormat="1" customHeight="1" s="8">
      <c r="C28" s="20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AH28" s="9" t="n"/>
      <c r="AJ28" s="10" t="n"/>
      <c r="AK28" s="11" t="n"/>
    </row>
    <row r="29" ht="15" customFormat="1" customHeight="1" s="8">
      <c r="C29" s="5" t="inlineStr">
        <is>
          <t xml:space="preserve">Сметная (договорная) стоимость в соответствии с договором подряда (субподряда): </t>
        </is>
      </c>
      <c r="E29" s="21" t="n"/>
      <c r="F29" s="21" t="n"/>
      <c r="G29" s="21" t="n"/>
      <c r="H29" s="21" t="n"/>
      <c r="I29" s="21" t="n"/>
      <c r="J29" s="43" t="n"/>
      <c r="K29" s="43" t="n"/>
      <c r="N29" s="17" t="n"/>
      <c r="O29" s="321">
        <f>AG180</f>
        <v/>
      </c>
      <c r="P29" s="450" t="n"/>
      <c r="Q29" s="450" t="n"/>
      <c r="R29" s="450" t="n"/>
      <c r="S29" s="450" t="n"/>
      <c r="T29" s="450" t="n"/>
      <c r="U29" s="450" t="n"/>
      <c r="V29" s="450" t="n"/>
      <c r="W29" s="43" t="inlineStr">
        <is>
          <t>руб.</t>
        </is>
      </c>
      <c r="AH29" s="9" t="n"/>
      <c r="AJ29" s="10" t="n"/>
      <c r="AK29" s="11" t="n"/>
    </row>
    <row r="30" ht="15" customFormat="1" customHeight="1" s="8">
      <c r="AH30" s="9" t="n"/>
      <c r="AJ30" s="10" t="n"/>
      <c r="AK30" s="11" t="n"/>
    </row>
    <row r="31" ht="15" customFormat="1" customHeight="1" s="383">
      <c r="A31" s="29" t="inlineStr">
        <is>
          <t>№ п/п</t>
        </is>
      </c>
      <c r="B31" s="341" t="n"/>
      <c r="C31" s="391" t="inlineStr">
        <is>
          <t>Наименование работ</t>
        </is>
      </c>
      <c r="D31" s="447" t="n"/>
      <c r="E31" s="447" t="n"/>
      <c r="F31" s="447" t="n"/>
      <c r="G31" s="447" t="n"/>
      <c r="H31" s="447" t="n"/>
      <c r="I31" s="447" t="n"/>
      <c r="J31" s="448" t="n"/>
      <c r="K31" s="29" t="inlineStr">
        <is>
          <t>Номер единичной расценки</t>
        </is>
      </c>
      <c r="L31" s="29" t="inlineStr">
        <is>
          <t>Единица измерения</t>
        </is>
      </c>
      <c r="M31" s="448" t="n"/>
      <c r="N31" s="391" t="inlineStr">
        <is>
          <t>Количество</t>
        </is>
      </c>
      <c r="O31" s="447" t="n"/>
      <c r="P31" s="447" t="n"/>
      <c r="Q31" s="447" t="n"/>
      <c r="R31" s="447" t="n"/>
      <c r="S31" s="447" t="n"/>
      <c r="T31" s="447" t="n"/>
      <c r="U31" s="448" t="n"/>
      <c r="V31" s="29" t="inlineStr">
        <is>
          <t>Выполнено работ</t>
        </is>
      </c>
      <c r="W31" s="444" t="n"/>
      <c r="X31" s="444" t="n"/>
      <c r="Y31" s="444" t="n"/>
      <c r="Z31" s="444" t="n"/>
      <c r="AA31" s="444" t="n"/>
      <c r="AB31" s="444" t="n"/>
      <c r="AC31" s="444" t="n"/>
      <c r="AD31" s="444" t="n"/>
      <c r="AE31" s="444" t="n"/>
      <c r="AF31" s="444" t="n"/>
      <c r="AG31" s="341" t="n"/>
    </row>
    <row r="32" ht="25.5" customFormat="1" customHeight="1" s="383">
      <c r="A32" s="29" t="inlineStr">
        <is>
          <t>п/п</t>
        </is>
      </c>
      <c r="B32" s="29" t="inlineStr">
        <is>
          <t>Основание</t>
        </is>
      </c>
      <c r="C32" s="453" t="n"/>
      <c r="J32" s="445" t="n"/>
      <c r="K32" s="460" t="n"/>
      <c r="L32" s="453" t="n"/>
      <c r="M32" s="445" t="n"/>
      <c r="N32" s="453" t="n"/>
      <c r="U32" s="445" t="n"/>
      <c r="V32" s="29" t="inlineStr">
        <is>
          <t>Цена за ед., руб.</t>
        </is>
      </c>
      <c r="W32" s="444" t="n"/>
      <c r="X32" s="444" t="n"/>
      <c r="Y32" s="444" t="n"/>
      <c r="Z32" s="444" t="n"/>
      <c r="AA32" s="444" t="n"/>
      <c r="AB32" s="341" t="n"/>
      <c r="AC32" s="29" t="inlineStr">
        <is>
          <t>Стоимость, руб.</t>
        </is>
      </c>
      <c r="AD32" s="444" t="n"/>
      <c r="AE32" s="444" t="n"/>
      <c r="AF32" s="444" t="n"/>
      <c r="AG32" s="341" t="n"/>
    </row>
    <row r="33" ht="16.5" customFormat="1" customHeight="1" s="383">
      <c r="A33" s="460" t="n"/>
      <c r="B33" s="460" t="n"/>
      <c r="C33" s="453" t="n"/>
      <c r="J33" s="445" t="n"/>
      <c r="K33" s="460" t="n"/>
      <c r="L33" s="453" t="n"/>
      <c r="M33" s="445" t="n"/>
      <c r="N33" s="453" t="n"/>
      <c r="U33" s="445" t="n"/>
      <c r="V33" s="29" t="inlineStr">
        <is>
          <t>Всего</t>
        </is>
      </c>
      <c r="W33" s="447" t="n"/>
      <c r="X33" s="447" t="n"/>
      <c r="Y33" s="447" t="n"/>
      <c r="Z33" s="448" t="n"/>
      <c r="AA33" s="29" t="inlineStr">
        <is>
          <t>в том числе</t>
        </is>
      </c>
      <c r="AB33" s="341" t="n"/>
      <c r="AC33" s="29" t="inlineStr">
        <is>
          <t>Всего</t>
        </is>
      </c>
      <c r="AD33" s="447" t="n"/>
      <c r="AE33" s="448" t="n"/>
      <c r="AF33" s="29" t="inlineStr">
        <is>
          <t>в том числе</t>
        </is>
      </c>
      <c r="AG33" s="341" t="n"/>
    </row>
    <row r="34" ht="20.25" customFormat="1" customHeight="1" s="383">
      <c r="A34" s="461" t="n"/>
      <c r="B34" s="461" t="n"/>
      <c r="C34" s="449" t="n"/>
      <c r="D34" s="450" t="n"/>
      <c r="E34" s="450" t="n"/>
      <c r="F34" s="450" t="n"/>
      <c r="G34" s="450" t="n"/>
      <c r="H34" s="450" t="n"/>
      <c r="I34" s="450" t="n"/>
      <c r="J34" s="451" t="n"/>
      <c r="K34" s="461" t="n"/>
      <c r="L34" s="449" t="n"/>
      <c r="M34" s="451" t="n"/>
      <c r="N34" s="449" t="n"/>
      <c r="O34" s="450" t="n"/>
      <c r="P34" s="450" t="n"/>
      <c r="Q34" s="450" t="n"/>
      <c r="R34" s="450" t="n"/>
      <c r="S34" s="450" t="n"/>
      <c r="T34" s="450" t="n"/>
      <c r="U34" s="451" t="n"/>
      <c r="V34" s="449" t="n"/>
      <c r="W34" s="450" t="n"/>
      <c r="X34" s="450" t="n"/>
      <c r="Y34" s="450" t="n"/>
      <c r="Z34" s="451" t="n"/>
      <c r="AA34" s="29" t="inlineStr">
        <is>
          <t>Работа</t>
        </is>
      </c>
      <c r="AB34" s="392" t="inlineStr">
        <is>
          <t>Материалы</t>
        </is>
      </c>
      <c r="AC34" s="449" t="n"/>
      <c r="AD34" s="450" t="n"/>
      <c r="AE34" s="451" t="n"/>
      <c r="AF34" s="29" t="inlineStr">
        <is>
          <t>Работа</t>
        </is>
      </c>
      <c r="AG34" s="394" t="inlineStr">
        <is>
          <t>Материалы</t>
        </is>
      </c>
    </row>
    <row r="35" ht="12.75" customFormat="1" customHeight="1" s="383">
      <c r="A35" s="391" t="n">
        <v>1</v>
      </c>
      <c r="B35" s="391" t="n">
        <v>2</v>
      </c>
      <c r="C35" s="391" t="n">
        <v>3</v>
      </c>
      <c r="D35" s="444" t="n"/>
      <c r="E35" s="444" t="n"/>
      <c r="F35" s="444" t="n"/>
      <c r="G35" s="444" t="n"/>
      <c r="H35" s="444" t="n"/>
      <c r="I35" s="444" t="n"/>
      <c r="J35" s="341" t="n"/>
      <c r="K35" s="391" t="n">
        <v>4</v>
      </c>
      <c r="L35" s="391" t="n">
        <v>5</v>
      </c>
      <c r="M35" s="341" t="n"/>
      <c r="N35" s="391" t="n"/>
      <c r="O35" s="444" t="n"/>
      <c r="P35" s="444" t="n"/>
      <c r="Q35" s="444" t="n"/>
      <c r="R35" s="444" t="n"/>
      <c r="S35" s="444" t="n"/>
      <c r="T35" s="444" t="n"/>
      <c r="U35" s="341" t="n"/>
      <c r="V35" s="391" t="n">
        <v>7</v>
      </c>
      <c r="W35" s="444" t="n"/>
      <c r="X35" s="444" t="n"/>
      <c r="Y35" s="444" t="n"/>
      <c r="Z35" s="341" t="n"/>
      <c r="AA35" s="391" t="n">
        <v>8</v>
      </c>
      <c r="AB35" s="391" t="n">
        <v>9</v>
      </c>
      <c r="AC35" s="391" t="n">
        <v>10</v>
      </c>
      <c r="AD35" s="444" t="n"/>
      <c r="AE35" s="341" t="n"/>
      <c r="AF35" s="391" t="n">
        <v>11</v>
      </c>
      <c r="AG35" s="391" t="n">
        <v>12</v>
      </c>
    </row>
    <row r="36" ht="15.75" customFormat="1" customHeight="1" s="383">
      <c r="A36" s="462" t="n"/>
      <c r="B36" s="444" t="n"/>
      <c r="C36" s="463" t="inlineStr">
        <is>
          <t>Блок-секция А</t>
        </is>
      </c>
      <c r="D36" s="444" t="n"/>
      <c r="E36" s="444" t="n"/>
      <c r="F36" s="444" t="n"/>
      <c r="G36" s="444" t="n"/>
      <c r="H36" s="444" t="n"/>
      <c r="I36" s="444" t="n"/>
      <c r="J36" s="444" t="n"/>
      <c r="K36" s="464" t="n"/>
      <c r="L36" s="465" t="n"/>
      <c r="M36" s="465" t="n"/>
      <c r="N36" s="466" t="n"/>
      <c r="O36" s="444" t="n"/>
      <c r="P36" s="444" t="n"/>
      <c r="Q36" s="467" t="n"/>
      <c r="R36" s="467" t="n"/>
      <c r="S36" s="444" t="n"/>
      <c r="T36" s="444" t="n"/>
      <c r="U36" s="444" t="n"/>
      <c r="V36" s="468" t="n"/>
      <c r="W36" s="444" t="n"/>
      <c r="X36" s="444" t="n"/>
      <c r="Y36" s="444" t="n"/>
      <c r="Z36" s="444" t="n"/>
      <c r="AA36" s="468" t="n"/>
      <c r="AB36" s="468" t="n"/>
      <c r="AC36" s="469" t="n"/>
      <c r="AD36" s="444" t="n"/>
      <c r="AE36" s="444" t="n"/>
      <c r="AF36" s="444" t="n"/>
      <c r="AG36" s="341" t="n"/>
      <c r="AH36" s="470" t="n"/>
      <c r="AI36" s="471" t="n"/>
      <c r="AJ36" s="472" t="n"/>
      <c r="AK36" s="470" t="n"/>
      <c r="AL36" s="471" t="n"/>
      <c r="AM36" s="471" t="n"/>
      <c r="AN36" s="471" t="n"/>
      <c r="AO36" s="471" t="n"/>
      <c r="AP36" s="471" t="n"/>
      <c r="AQ36" s="471" t="n"/>
      <c r="AR36" s="471" t="n"/>
    </row>
    <row r="37" ht="15.75" customFormat="1" customHeight="1" s="383">
      <c r="A37" s="473" t="n"/>
      <c r="B37" s="474" t="inlineStr">
        <is>
          <t>Витражные блоки</t>
        </is>
      </c>
      <c r="C37" s="475" t="n"/>
      <c r="D37" s="475" t="n"/>
      <c r="E37" s="475" t="n"/>
      <c r="F37" s="475" t="n"/>
      <c r="G37" s="475" t="n"/>
      <c r="H37" s="475" t="n"/>
      <c r="I37" s="475" t="n"/>
      <c r="J37" s="475" t="n"/>
      <c r="K37" s="476" t="n"/>
      <c r="L37" s="477" t="n"/>
      <c r="M37" s="477" t="n"/>
      <c r="N37" s="478" t="n"/>
      <c r="O37" s="478" t="n"/>
      <c r="P37" s="478" t="n"/>
      <c r="Q37" s="479" t="n"/>
      <c r="R37" s="479" t="n"/>
      <c r="S37" s="479" t="n"/>
      <c r="T37" s="479" t="n"/>
      <c r="U37" s="479" t="n"/>
      <c r="V37" s="480" t="n"/>
      <c r="W37" s="480" t="n"/>
      <c r="X37" s="480" t="n"/>
      <c r="Y37" s="480" t="n"/>
      <c r="Z37" s="480" t="n"/>
      <c r="AA37" s="480" t="n"/>
      <c r="AB37" s="480" t="n"/>
      <c r="AC37" s="481" t="n"/>
      <c r="AD37" s="481" t="n"/>
      <c r="AE37" s="481" t="n"/>
      <c r="AF37" s="481" t="n"/>
      <c r="AG37" s="482" t="n"/>
      <c r="AH37" s="470" t="n"/>
      <c r="AI37" s="471" t="n"/>
      <c r="AJ37" s="472" t="n"/>
      <c r="AK37" s="470" t="n"/>
      <c r="AL37" s="471" t="n"/>
      <c r="AM37" s="471" t="n"/>
      <c r="AN37" s="471" t="n"/>
      <c r="AO37" s="471" t="n"/>
      <c r="AP37" s="471" t="n"/>
      <c r="AQ37" s="471" t="n"/>
      <c r="AR37" s="471" t="n"/>
    </row>
    <row r="38" ht="80" customFormat="1" customHeight="1" s="383">
      <c r="A38" s="483" t="n">
        <v>1</v>
      </c>
      <c r="B38" s="484" t="inlineStr">
        <is>
          <t>Изготовление и монтаж витража Вн-6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38" s="444" t="n"/>
      <c r="D38" s="444" t="n"/>
      <c r="E38" s="444" t="n"/>
      <c r="F38" s="444" t="n"/>
      <c r="G38" s="444" t="n"/>
      <c r="H38" s="444" t="n"/>
      <c r="I38" s="444" t="n"/>
      <c r="J38" s="341" t="n"/>
      <c r="K38" s="485" t="n"/>
      <c r="L38" s="486" t="n"/>
      <c r="M38" s="487" t="n"/>
      <c r="N38" s="488">
        <f>ROUND(80.98*0.7,2)</f>
        <v/>
      </c>
      <c r="O38" s="447" t="n"/>
      <c r="P38" s="447" t="n"/>
      <c r="Q38" s="447" t="n"/>
      <c r="R38" s="447" t="n"/>
      <c r="S38" s="447" t="n"/>
      <c r="T38" s="447" t="n"/>
      <c r="U38" s="448" t="n"/>
      <c r="V38" s="489">
        <f>AA38+AB39</f>
        <v/>
      </c>
      <c r="W38" s="444" t="n"/>
      <c r="X38" s="444" t="n"/>
      <c r="Y38" s="444" t="n"/>
      <c r="Z38" s="341" t="n"/>
      <c r="AA38" s="490" t="n">
        <v>2966</v>
      </c>
      <c r="AB38" s="490" t="n"/>
      <c r="AC38" s="489">
        <f>AF38+AG39</f>
        <v/>
      </c>
      <c r="AD38" s="444" t="n"/>
      <c r="AE38" s="341" t="n"/>
      <c r="AF38" s="490">
        <f>N38*AA38</f>
        <v/>
      </c>
      <c r="AG38" s="491" t="n"/>
      <c r="AH38" s="470" t="n"/>
      <c r="AI38" s="471" t="n"/>
      <c r="AJ38" s="472" t="n"/>
      <c r="AK38" s="470" t="n"/>
      <c r="AL38" s="471" t="n"/>
      <c r="AM38" s="471" t="n"/>
      <c r="AN38" s="471" t="n"/>
      <c r="AO38" s="471" t="n"/>
      <c r="AP38" s="471" t="n"/>
      <c r="AQ38" s="471" t="n"/>
      <c r="AR38" s="471" t="n"/>
    </row>
    <row r="39" ht="20.25" customFormat="1" customHeight="1" s="383">
      <c r="A39" s="492" t="n"/>
      <c r="B39" s="493" t="n"/>
      <c r="C39" s="494" t="inlineStr">
        <is>
          <t>Витражный блок Вн-6 (4200х4820 мм)</t>
        </is>
      </c>
      <c r="D39" s="444" t="n"/>
      <c r="E39" s="444" t="n"/>
      <c r="F39" s="444" t="n"/>
      <c r="G39" s="444" t="n"/>
      <c r="H39" s="444" t="n"/>
      <c r="I39" s="444" t="n"/>
      <c r="J39" s="341" t="n"/>
      <c r="K39" s="495" t="n"/>
      <c r="L39" s="496" t="inlineStr">
        <is>
          <t>м2</t>
        </is>
      </c>
      <c r="M39" s="497" t="n"/>
      <c r="N39" s="449" t="n"/>
      <c r="O39" s="450" t="n"/>
      <c r="P39" s="450" t="n"/>
      <c r="Q39" s="450" t="n"/>
      <c r="R39" s="450" t="n"/>
      <c r="S39" s="450" t="n"/>
      <c r="T39" s="450" t="n"/>
      <c r="U39" s="451" t="n"/>
      <c r="V39" s="498" t="n"/>
      <c r="W39" s="444" t="n"/>
      <c r="X39" s="444" t="n"/>
      <c r="Y39" s="444" t="n"/>
      <c r="Z39" s="341" t="n"/>
      <c r="AA39" s="499" t="n"/>
      <c r="AB39" s="499" t="n">
        <v>19734.44</v>
      </c>
      <c r="AC39" s="498" t="n"/>
      <c r="AD39" s="444" t="n"/>
      <c r="AE39" s="341" t="n"/>
      <c r="AF39" s="499" t="n"/>
      <c r="AG39" s="500">
        <f>AB39*N38</f>
        <v/>
      </c>
      <c r="AH39" s="470" t="n"/>
      <c r="AI39" s="471" t="n"/>
      <c r="AJ39" s="472" t="n"/>
      <c r="AK39" s="470" t="n"/>
      <c r="AL39" s="471" t="n"/>
      <c r="AM39" s="471" t="n"/>
      <c r="AN39" s="471" t="n"/>
      <c r="AO39" s="471" t="n"/>
      <c r="AP39" s="471" t="n"/>
      <c r="AQ39" s="471" t="n"/>
      <c r="AR39" s="471" t="n"/>
    </row>
    <row r="40" ht="80" customFormat="1" customHeight="1" s="383">
      <c r="A40" s="483" t="n">
        <v>2</v>
      </c>
      <c r="B40" s="484" t="inlineStr">
        <is>
          <t>Изготовление и монтаж витража Вн-8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40" s="444" t="n"/>
      <c r="D40" s="444" t="n"/>
      <c r="E40" s="444" t="n"/>
      <c r="F40" s="444" t="n"/>
      <c r="G40" s="444" t="n"/>
      <c r="H40" s="444" t="n"/>
      <c r="I40" s="444" t="n"/>
      <c r="J40" s="341" t="n"/>
      <c r="K40" s="485" t="n"/>
      <c r="L40" s="486" t="n"/>
      <c r="M40" s="487" t="n"/>
      <c r="N40" s="488">
        <f>ROUND(12.53*0.7,2)</f>
        <v/>
      </c>
      <c r="O40" s="447" t="n"/>
      <c r="P40" s="447" t="n"/>
      <c r="Q40" s="447" t="n"/>
      <c r="R40" s="447" t="n"/>
      <c r="S40" s="447" t="n"/>
      <c r="T40" s="447" t="n"/>
      <c r="U40" s="448" t="n"/>
      <c r="V40" s="489">
        <f>AA40+AB41</f>
        <v/>
      </c>
      <c r="W40" s="444" t="n"/>
      <c r="X40" s="444" t="n"/>
      <c r="Y40" s="444" t="n"/>
      <c r="Z40" s="341" t="n"/>
      <c r="AA40" s="490" t="n">
        <v>2966</v>
      </c>
      <c r="AB40" s="490" t="n"/>
      <c r="AC40" s="489">
        <f>AF40+AG41</f>
        <v/>
      </c>
      <c r="AD40" s="444" t="n"/>
      <c r="AE40" s="341" t="n"/>
      <c r="AF40" s="490">
        <f>N40*AA40</f>
        <v/>
      </c>
      <c r="AG40" s="491" t="n"/>
      <c r="AH40" s="470" t="n"/>
      <c r="AI40" s="471" t="n"/>
      <c r="AJ40" s="472" t="n"/>
      <c r="AK40" s="470" t="n"/>
      <c r="AL40" s="471" t="n"/>
      <c r="AM40" s="471" t="n"/>
      <c r="AN40" s="471" t="n"/>
      <c r="AO40" s="471" t="n"/>
      <c r="AP40" s="471" t="n"/>
      <c r="AQ40" s="471" t="n"/>
      <c r="AR40" s="471" t="n"/>
    </row>
    <row r="41" ht="20.25" customFormat="1" customHeight="1" s="383">
      <c r="A41" s="492" t="n"/>
      <c r="B41" s="493" t="n"/>
      <c r="C41" s="494" t="inlineStr">
        <is>
          <t>Витражный блок Вн-8 (2600х4820 мм)</t>
        </is>
      </c>
      <c r="D41" s="444" t="n"/>
      <c r="E41" s="444" t="n"/>
      <c r="F41" s="444" t="n"/>
      <c r="G41" s="444" t="n"/>
      <c r="H41" s="444" t="n"/>
      <c r="I41" s="444" t="n"/>
      <c r="J41" s="341" t="n"/>
      <c r="K41" s="495" t="n"/>
      <c r="L41" s="496" t="inlineStr">
        <is>
          <t>м2</t>
        </is>
      </c>
      <c r="M41" s="497" t="n"/>
      <c r="N41" s="449" t="n"/>
      <c r="O41" s="450" t="n"/>
      <c r="P41" s="450" t="n"/>
      <c r="Q41" s="450" t="n"/>
      <c r="R41" s="450" t="n"/>
      <c r="S41" s="450" t="n"/>
      <c r="T41" s="450" t="n"/>
      <c r="U41" s="451" t="n"/>
      <c r="V41" s="498" t="n"/>
      <c r="W41" s="444" t="n"/>
      <c r="X41" s="444" t="n"/>
      <c r="Y41" s="444" t="n"/>
      <c r="Z41" s="341" t="n"/>
      <c r="AA41" s="499" t="n"/>
      <c r="AB41" s="499" t="n">
        <v>19734.44</v>
      </c>
      <c r="AC41" s="498" t="n"/>
      <c r="AD41" s="444" t="n"/>
      <c r="AE41" s="341" t="n"/>
      <c r="AF41" s="499" t="n"/>
      <c r="AG41" s="500">
        <f>AB41*N40</f>
        <v/>
      </c>
      <c r="AH41" s="470" t="n"/>
      <c r="AI41" s="471" t="n"/>
      <c r="AJ41" s="472" t="n"/>
      <c r="AK41" s="470" t="n"/>
      <c r="AL41" s="471" t="n"/>
      <c r="AM41" s="471" t="n"/>
      <c r="AN41" s="471" t="n"/>
      <c r="AO41" s="471" t="n"/>
      <c r="AP41" s="471" t="n"/>
      <c r="AQ41" s="471" t="n"/>
      <c r="AR41" s="471" t="n"/>
    </row>
    <row r="42" ht="80" customFormat="1" customHeight="1" s="383">
      <c r="A42" s="483" t="n">
        <v>3</v>
      </c>
      <c r="B42" s="484" t="inlineStr">
        <is>
          <t>Изготовление и монтаж витража Вн-14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42" s="444" t="n"/>
      <c r="D42" s="444" t="n"/>
      <c r="E42" s="444" t="n"/>
      <c r="F42" s="444" t="n"/>
      <c r="G42" s="444" t="n"/>
      <c r="H42" s="444" t="n"/>
      <c r="I42" s="444" t="n"/>
      <c r="J42" s="341" t="n"/>
      <c r="K42" s="485" t="n"/>
      <c r="L42" s="486" t="n"/>
      <c r="M42" s="487" t="n"/>
      <c r="N42" s="488">
        <f>ROUND(11.98*0.7,2)</f>
        <v/>
      </c>
      <c r="O42" s="447" t="n"/>
      <c r="P42" s="447" t="n"/>
      <c r="Q42" s="447" t="n"/>
      <c r="R42" s="447" t="n"/>
      <c r="S42" s="447" t="n"/>
      <c r="T42" s="447" t="n"/>
      <c r="U42" s="448" t="n"/>
      <c r="V42" s="489">
        <f>AA42+AB43</f>
        <v/>
      </c>
      <c r="W42" s="444" t="n"/>
      <c r="X42" s="444" t="n"/>
      <c r="Y42" s="444" t="n"/>
      <c r="Z42" s="341" t="n"/>
      <c r="AA42" s="490" t="n">
        <v>2966</v>
      </c>
      <c r="AB42" s="490" t="n"/>
      <c r="AC42" s="489">
        <f>AF42+AG43</f>
        <v/>
      </c>
      <c r="AD42" s="444" t="n"/>
      <c r="AE42" s="341" t="n"/>
      <c r="AF42" s="490">
        <f>N42*AA42</f>
        <v/>
      </c>
      <c r="AG42" s="491" t="n"/>
      <c r="AH42" s="470" t="n"/>
      <c r="AI42" s="471" t="n"/>
      <c r="AJ42" s="472" t="n"/>
      <c r="AK42" s="470" t="n"/>
      <c r="AL42" s="471" t="n"/>
      <c r="AM42" s="471" t="n"/>
      <c r="AN42" s="471" t="n"/>
      <c r="AO42" s="471" t="n"/>
      <c r="AP42" s="471" t="n"/>
      <c r="AQ42" s="471" t="n"/>
      <c r="AR42" s="471" t="n"/>
    </row>
    <row r="43" ht="20.25" customFormat="1" customHeight="1" s="383">
      <c r="A43" s="492" t="n"/>
      <c r="B43" s="493" t="n"/>
      <c r="C43" s="494" t="inlineStr">
        <is>
          <t>Витражный блок Вн-14 (2485х4820 мм)</t>
        </is>
      </c>
      <c r="D43" s="444" t="n"/>
      <c r="E43" s="444" t="n"/>
      <c r="F43" s="444" t="n"/>
      <c r="G43" s="444" t="n"/>
      <c r="H43" s="444" t="n"/>
      <c r="I43" s="444" t="n"/>
      <c r="J43" s="341" t="n"/>
      <c r="K43" s="495" t="n"/>
      <c r="L43" s="496" t="inlineStr">
        <is>
          <t>м2</t>
        </is>
      </c>
      <c r="M43" s="497" t="n"/>
      <c r="N43" s="449" t="n"/>
      <c r="O43" s="450" t="n"/>
      <c r="P43" s="450" t="n"/>
      <c r="Q43" s="450" t="n"/>
      <c r="R43" s="450" t="n"/>
      <c r="S43" s="450" t="n"/>
      <c r="T43" s="450" t="n"/>
      <c r="U43" s="451" t="n"/>
      <c r="V43" s="498" t="n"/>
      <c r="W43" s="444" t="n"/>
      <c r="X43" s="444" t="n"/>
      <c r="Y43" s="444" t="n"/>
      <c r="Z43" s="341" t="n"/>
      <c r="AA43" s="499" t="n"/>
      <c r="AB43" s="499" t="n">
        <v>19734.44</v>
      </c>
      <c r="AC43" s="498" t="n"/>
      <c r="AD43" s="444" t="n"/>
      <c r="AE43" s="341" t="n"/>
      <c r="AF43" s="499" t="n"/>
      <c r="AG43" s="500">
        <f>AB43*N42</f>
        <v/>
      </c>
      <c r="AH43" s="470" t="n"/>
      <c r="AI43" s="471" t="n"/>
      <c r="AJ43" s="472" t="n"/>
      <c r="AK43" s="470" t="n"/>
      <c r="AL43" s="471" t="n"/>
      <c r="AM43" s="471" t="n"/>
      <c r="AN43" s="471" t="n"/>
      <c r="AO43" s="471" t="n"/>
      <c r="AP43" s="471" t="n"/>
      <c r="AQ43" s="471" t="n"/>
      <c r="AR43" s="471" t="n"/>
    </row>
    <row r="44" ht="80" customFormat="1" customHeight="1" s="383">
      <c r="A44" s="483" t="n">
        <v>4</v>
      </c>
      <c r="B44" s="484" t="inlineStr">
        <is>
          <t>Изготовление и монтаж витража Вн-15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44" s="444" t="n"/>
      <c r="D44" s="444" t="n"/>
      <c r="E44" s="444" t="n"/>
      <c r="F44" s="444" t="n"/>
      <c r="G44" s="444" t="n"/>
      <c r="H44" s="444" t="n"/>
      <c r="I44" s="444" t="n"/>
      <c r="J44" s="341" t="n"/>
      <c r="K44" s="485" t="n"/>
      <c r="L44" s="486" t="n"/>
      <c r="M44" s="487" t="n"/>
      <c r="N44" s="488">
        <f>ROUND(6.75*0.7,2)</f>
        <v/>
      </c>
      <c r="O44" s="447" t="n"/>
      <c r="P44" s="447" t="n"/>
      <c r="Q44" s="447" t="n"/>
      <c r="R44" s="447" t="n"/>
      <c r="S44" s="447" t="n"/>
      <c r="T44" s="447" t="n"/>
      <c r="U44" s="448" t="n"/>
      <c r="V44" s="489">
        <f>AA44+AB45</f>
        <v/>
      </c>
      <c r="W44" s="444" t="n"/>
      <c r="X44" s="444" t="n"/>
      <c r="Y44" s="444" t="n"/>
      <c r="Z44" s="341" t="n"/>
      <c r="AA44" s="490" t="n">
        <v>2966</v>
      </c>
      <c r="AB44" s="490" t="n"/>
      <c r="AC44" s="489">
        <f>AF44+AG45</f>
        <v/>
      </c>
      <c r="AD44" s="444" t="n"/>
      <c r="AE44" s="341" t="n"/>
      <c r="AF44" s="490">
        <f>N44*AA44</f>
        <v/>
      </c>
      <c r="AG44" s="491" t="n"/>
      <c r="AH44" s="470" t="n"/>
      <c r="AI44" s="471" t="n"/>
      <c r="AJ44" s="472" t="n"/>
      <c r="AK44" s="470" t="n"/>
      <c r="AL44" s="471" t="n"/>
      <c r="AM44" s="471" t="n"/>
      <c r="AN44" s="471" t="n"/>
      <c r="AO44" s="471" t="n"/>
      <c r="AP44" s="471" t="n"/>
      <c r="AQ44" s="471" t="n"/>
      <c r="AR44" s="471" t="n"/>
    </row>
    <row r="45" ht="20.25" customFormat="1" customHeight="1" s="383">
      <c r="A45" s="492" t="n"/>
      <c r="B45" s="493" t="n"/>
      <c r="C45" s="494" t="inlineStr">
        <is>
          <t>Витражный блок Вн-15 (1400х4820 мм)</t>
        </is>
      </c>
      <c r="D45" s="444" t="n"/>
      <c r="E45" s="444" t="n"/>
      <c r="F45" s="444" t="n"/>
      <c r="G45" s="444" t="n"/>
      <c r="H45" s="444" t="n"/>
      <c r="I45" s="444" t="n"/>
      <c r="J45" s="341" t="n"/>
      <c r="K45" s="495" t="n"/>
      <c r="L45" s="496" t="inlineStr">
        <is>
          <t>м2</t>
        </is>
      </c>
      <c r="M45" s="497" t="n"/>
      <c r="N45" s="449" t="n"/>
      <c r="O45" s="450" t="n"/>
      <c r="P45" s="450" t="n"/>
      <c r="Q45" s="450" t="n"/>
      <c r="R45" s="450" t="n"/>
      <c r="S45" s="450" t="n"/>
      <c r="T45" s="450" t="n"/>
      <c r="U45" s="451" t="n"/>
      <c r="V45" s="498" t="n"/>
      <c r="W45" s="444" t="n"/>
      <c r="X45" s="444" t="n"/>
      <c r="Y45" s="444" t="n"/>
      <c r="Z45" s="341" t="n"/>
      <c r="AA45" s="499" t="n"/>
      <c r="AB45" s="499" t="n">
        <v>19734.44</v>
      </c>
      <c r="AC45" s="498" t="n"/>
      <c r="AD45" s="444" t="n"/>
      <c r="AE45" s="341" t="n"/>
      <c r="AF45" s="499" t="n"/>
      <c r="AG45" s="500">
        <f>AB45*N44</f>
        <v/>
      </c>
      <c r="AH45" s="470" t="n"/>
      <c r="AI45" s="471" t="n"/>
      <c r="AJ45" s="472" t="n"/>
      <c r="AK45" s="470" t="n"/>
      <c r="AL45" s="471" t="n"/>
      <c r="AM45" s="471" t="n"/>
      <c r="AN45" s="471" t="n"/>
      <c r="AO45" s="471" t="n"/>
      <c r="AP45" s="471" t="n"/>
      <c r="AQ45" s="471" t="n"/>
      <c r="AR45" s="471" t="n"/>
    </row>
    <row r="46" ht="80" customFormat="1" customHeight="1" s="383">
      <c r="A46" s="483" t="n">
        <v>5</v>
      </c>
      <c r="B46" s="484" t="inlineStr">
        <is>
          <t>Изготовление и монтаж витража Вн-22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46" s="444" t="n"/>
      <c r="D46" s="444" t="n"/>
      <c r="E46" s="444" t="n"/>
      <c r="F46" s="444" t="n"/>
      <c r="G46" s="444" t="n"/>
      <c r="H46" s="444" t="n"/>
      <c r="I46" s="444" t="n"/>
      <c r="J46" s="341" t="n"/>
      <c r="K46" s="485" t="n"/>
      <c r="L46" s="486" t="n"/>
      <c r="M46" s="487" t="n"/>
      <c r="N46" s="488">
        <f>ROUND(29.24*0.7,2)</f>
        <v/>
      </c>
      <c r="O46" s="447" t="n"/>
      <c r="P46" s="447" t="n"/>
      <c r="Q46" s="447" t="n"/>
      <c r="R46" s="447" t="n"/>
      <c r="S46" s="447" t="n"/>
      <c r="T46" s="447" t="n"/>
      <c r="U46" s="448" t="n"/>
      <c r="V46" s="489">
        <f>AA46+AB47</f>
        <v/>
      </c>
      <c r="W46" s="444" t="n"/>
      <c r="X46" s="444" t="n"/>
      <c r="Y46" s="444" t="n"/>
      <c r="Z46" s="341" t="n"/>
      <c r="AA46" s="490" t="n">
        <v>2966</v>
      </c>
      <c r="AB46" s="490" t="n"/>
      <c r="AC46" s="489">
        <f>AF46+AG47</f>
        <v/>
      </c>
      <c r="AD46" s="444" t="n"/>
      <c r="AE46" s="341" t="n"/>
      <c r="AF46" s="490">
        <f>N46*AA46</f>
        <v/>
      </c>
      <c r="AG46" s="491" t="n"/>
      <c r="AH46" s="470" t="n"/>
      <c r="AI46" s="471" t="n"/>
      <c r="AJ46" s="472" t="n"/>
      <c r="AK46" s="470" t="n"/>
      <c r="AL46" s="471" t="n"/>
      <c r="AM46" s="471" t="n"/>
      <c r="AN46" s="471" t="n"/>
      <c r="AO46" s="471" t="n"/>
      <c r="AP46" s="471" t="n"/>
      <c r="AQ46" s="471" t="n"/>
      <c r="AR46" s="471" t="n"/>
    </row>
    <row r="47" ht="20.25" customFormat="1" customHeight="1" s="383">
      <c r="A47" s="492" t="n"/>
      <c r="B47" s="493" t="n"/>
      <c r="C47" s="494" t="inlineStr">
        <is>
          <t>Витражный блок Вн-22 (2150х2720 мм)</t>
        </is>
      </c>
      <c r="D47" s="444" t="n"/>
      <c r="E47" s="444" t="n"/>
      <c r="F47" s="444" t="n"/>
      <c r="G47" s="444" t="n"/>
      <c r="H47" s="444" t="n"/>
      <c r="I47" s="444" t="n"/>
      <c r="J47" s="341" t="n"/>
      <c r="K47" s="495" t="n"/>
      <c r="L47" s="496" t="inlineStr">
        <is>
          <t>м2</t>
        </is>
      </c>
      <c r="M47" s="497" t="n"/>
      <c r="N47" s="449" t="n"/>
      <c r="O47" s="450" t="n"/>
      <c r="P47" s="450" t="n"/>
      <c r="Q47" s="450" t="n"/>
      <c r="R47" s="450" t="n"/>
      <c r="S47" s="450" t="n"/>
      <c r="T47" s="450" t="n"/>
      <c r="U47" s="451" t="n"/>
      <c r="V47" s="498" t="n"/>
      <c r="W47" s="444" t="n"/>
      <c r="X47" s="444" t="n"/>
      <c r="Y47" s="444" t="n"/>
      <c r="Z47" s="341" t="n"/>
      <c r="AA47" s="499" t="n"/>
      <c r="AB47" s="499" t="n">
        <v>19734.44</v>
      </c>
      <c r="AC47" s="498" t="n"/>
      <c r="AD47" s="444" t="n"/>
      <c r="AE47" s="341" t="n"/>
      <c r="AF47" s="499" t="n"/>
      <c r="AG47" s="500">
        <f>AB47*N46</f>
        <v/>
      </c>
      <c r="AH47" s="470" t="n"/>
      <c r="AI47" s="471" t="n"/>
      <c r="AJ47" s="472" t="n"/>
      <c r="AK47" s="470" t="n"/>
      <c r="AL47" s="471" t="n"/>
      <c r="AM47" s="471" t="n"/>
      <c r="AN47" s="471" t="n"/>
      <c r="AO47" s="471" t="n"/>
      <c r="AP47" s="471" t="n"/>
      <c r="AQ47" s="471" t="n"/>
      <c r="AR47" s="471" t="n"/>
    </row>
    <row r="48" ht="80" customFormat="1" customHeight="1" s="383">
      <c r="A48" s="483" t="n">
        <v>6</v>
      </c>
      <c r="B48" s="484" t="inlineStr">
        <is>
          <t>Изготовление и монтаж витража Вн-23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48" s="444" t="n"/>
      <c r="D48" s="444" t="n"/>
      <c r="E48" s="444" t="n"/>
      <c r="F48" s="444" t="n"/>
      <c r="G48" s="444" t="n"/>
      <c r="H48" s="444" t="n"/>
      <c r="I48" s="444" t="n"/>
      <c r="J48" s="341" t="n"/>
      <c r="K48" s="485" t="n"/>
      <c r="L48" s="486" t="n"/>
      <c r="M48" s="487" t="n"/>
      <c r="N48" s="488">
        <f>ROUND(10.69*0.7,2)</f>
        <v/>
      </c>
      <c r="O48" s="447" t="n"/>
      <c r="P48" s="447" t="n"/>
      <c r="Q48" s="447" t="n"/>
      <c r="R48" s="447" t="n"/>
      <c r="S48" s="447" t="n"/>
      <c r="T48" s="447" t="n"/>
      <c r="U48" s="448" t="n"/>
      <c r="V48" s="489">
        <f>AA48+AB49</f>
        <v/>
      </c>
      <c r="W48" s="444" t="n"/>
      <c r="X48" s="444" t="n"/>
      <c r="Y48" s="444" t="n"/>
      <c r="Z48" s="341" t="n"/>
      <c r="AA48" s="490" t="n">
        <v>2966</v>
      </c>
      <c r="AB48" s="490" t="n"/>
      <c r="AC48" s="489">
        <f>AF48+AG49</f>
        <v/>
      </c>
      <c r="AD48" s="444" t="n"/>
      <c r="AE48" s="341" t="n"/>
      <c r="AF48" s="490">
        <f>N48*AA48</f>
        <v/>
      </c>
      <c r="AG48" s="491" t="n"/>
      <c r="AH48" s="470" t="n"/>
      <c r="AI48" s="471" t="n"/>
      <c r="AJ48" s="472" t="n"/>
      <c r="AK48" s="470" t="n"/>
      <c r="AL48" s="471" t="n"/>
      <c r="AM48" s="471" t="n"/>
      <c r="AN48" s="471" t="n"/>
      <c r="AO48" s="471" t="n"/>
      <c r="AP48" s="471" t="n"/>
      <c r="AQ48" s="471" t="n"/>
      <c r="AR48" s="471" t="n"/>
    </row>
    <row r="49" ht="20.25" customFormat="1" customHeight="1" s="383">
      <c r="A49" s="492" t="n"/>
      <c r="B49" s="493" t="n"/>
      <c r="C49" s="494" t="inlineStr">
        <is>
          <t>Витражный блок Вн-23 (3540х3020 мм)</t>
        </is>
      </c>
      <c r="D49" s="444" t="n"/>
      <c r="E49" s="444" t="n"/>
      <c r="F49" s="444" t="n"/>
      <c r="G49" s="444" t="n"/>
      <c r="H49" s="444" t="n"/>
      <c r="I49" s="444" t="n"/>
      <c r="J49" s="341" t="n"/>
      <c r="K49" s="495" t="n"/>
      <c r="L49" s="496" t="inlineStr">
        <is>
          <t>м2</t>
        </is>
      </c>
      <c r="M49" s="497" t="n"/>
      <c r="N49" s="449" t="n"/>
      <c r="O49" s="450" t="n"/>
      <c r="P49" s="450" t="n"/>
      <c r="Q49" s="450" t="n"/>
      <c r="R49" s="450" t="n"/>
      <c r="S49" s="450" t="n"/>
      <c r="T49" s="450" t="n"/>
      <c r="U49" s="451" t="n"/>
      <c r="V49" s="498" t="n"/>
      <c r="W49" s="444" t="n"/>
      <c r="X49" s="444" t="n"/>
      <c r="Y49" s="444" t="n"/>
      <c r="Z49" s="341" t="n"/>
      <c r="AA49" s="499" t="n"/>
      <c r="AB49" s="499" t="n">
        <v>19734.44</v>
      </c>
      <c r="AC49" s="498" t="n"/>
      <c r="AD49" s="444" t="n"/>
      <c r="AE49" s="341" t="n"/>
      <c r="AF49" s="499" t="n"/>
      <c r="AG49" s="500">
        <f>AB49*N48</f>
        <v/>
      </c>
      <c r="AH49" s="470" t="n"/>
      <c r="AI49" s="471" t="n"/>
      <c r="AJ49" s="472" t="n"/>
      <c r="AK49" s="470" t="n"/>
      <c r="AL49" s="471" t="n"/>
      <c r="AM49" s="471" t="n"/>
      <c r="AN49" s="471" t="n"/>
      <c r="AO49" s="471" t="n"/>
      <c r="AP49" s="471" t="n"/>
      <c r="AQ49" s="471" t="n"/>
      <c r="AR49" s="471" t="n"/>
    </row>
    <row r="50" ht="80" customFormat="1" customHeight="1" s="383">
      <c r="A50" s="483" t="n">
        <v>7</v>
      </c>
      <c r="B50" s="484" t="inlineStr">
        <is>
          <t>Изготовление и монтаж витража Вн-24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50" s="444" t="n"/>
      <c r="D50" s="444" t="n"/>
      <c r="E50" s="444" t="n"/>
      <c r="F50" s="444" t="n"/>
      <c r="G50" s="444" t="n"/>
      <c r="H50" s="444" t="n"/>
      <c r="I50" s="444" t="n"/>
      <c r="J50" s="341" t="n"/>
      <c r="K50" s="485" t="n"/>
      <c r="L50" s="486" t="n"/>
      <c r="M50" s="487" t="n"/>
      <c r="N50" s="488">
        <f>ROUND(7.88*0.7,2)</f>
        <v/>
      </c>
      <c r="O50" s="447" t="n"/>
      <c r="P50" s="447" t="n"/>
      <c r="Q50" s="447" t="n"/>
      <c r="R50" s="447" t="n"/>
      <c r="S50" s="447" t="n"/>
      <c r="T50" s="447" t="n"/>
      <c r="U50" s="448" t="n"/>
      <c r="V50" s="489">
        <f>AA50+AB51</f>
        <v/>
      </c>
      <c r="W50" s="444" t="n"/>
      <c r="X50" s="444" t="n"/>
      <c r="Y50" s="444" t="n"/>
      <c r="Z50" s="341" t="n"/>
      <c r="AA50" s="490" t="n">
        <v>2966</v>
      </c>
      <c r="AB50" s="490" t="n"/>
      <c r="AC50" s="489">
        <f>AF50+AG51</f>
        <v/>
      </c>
      <c r="AD50" s="444" t="n"/>
      <c r="AE50" s="341" t="n"/>
      <c r="AF50" s="490">
        <f>N50*AA50</f>
        <v/>
      </c>
      <c r="AG50" s="491" t="n"/>
      <c r="AH50" s="470" t="n"/>
      <c r="AI50" s="471" t="n"/>
      <c r="AJ50" s="472" t="n"/>
      <c r="AK50" s="470" t="n"/>
      <c r="AL50" s="471" t="n"/>
      <c r="AM50" s="471" t="n"/>
      <c r="AN50" s="471" t="n"/>
      <c r="AO50" s="471" t="n"/>
      <c r="AP50" s="471" t="n"/>
      <c r="AQ50" s="471" t="n"/>
      <c r="AR50" s="471" t="n"/>
    </row>
    <row r="51" ht="20.25" customFormat="1" customHeight="1" s="383">
      <c r="A51" s="492" t="n"/>
      <c r="B51" s="493" t="n"/>
      <c r="C51" s="494" t="inlineStr">
        <is>
          <t>Витражный блок Вн-24 (2610х3020 мм)</t>
        </is>
      </c>
      <c r="D51" s="444" t="n"/>
      <c r="E51" s="444" t="n"/>
      <c r="F51" s="444" t="n"/>
      <c r="G51" s="444" t="n"/>
      <c r="H51" s="444" t="n"/>
      <c r="I51" s="444" t="n"/>
      <c r="J51" s="341" t="n"/>
      <c r="K51" s="495" t="n"/>
      <c r="L51" s="496" t="inlineStr">
        <is>
          <t>м2</t>
        </is>
      </c>
      <c r="M51" s="497" t="n"/>
      <c r="N51" s="449" t="n"/>
      <c r="O51" s="450" t="n"/>
      <c r="P51" s="450" t="n"/>
      <c r="Q51" s="450" t="n"/>
      <c r="R51" s="450" t="n"/>
      <c r="S51" s="450" t="n"/>
      <c r="T51" s="450" t="n"/>
      <c r="U51" s="451" t="n"/>
      <c r="V51" s="498" t="n"/>
      <c r="W51" s="444" t="n"/>
      <c r="X51" s="444" t="n"/>
      <c r="Y51" s="444" t="n"/>
      <c r="Z51" s="341" t="n"/>
      <c r="AA51" s="499" t="n"/>
      <c r="AB51" s="499" t="n">
        <v>19734.44</v>
      </c>
      <c r="AC51" s="498" t="n"/>
      <c r="AD51" s="444" t="n"/>
      <c r="AE51" s="341" t="n"/>
      <c r="AF51" s="499" t="n"/>
      <c r="AG51" s="500">
        <f>AB51*N50</f>
        <v/>
      </c>
      <c r="AH51" s="470" t="n"/>
      <c r="AI51" s="471" t="n"/>
      <c r="AJ51" s="472" t="n"/>
      <c r="AK51" s="470" t="n"/>
      <c r="AL51" s="471" t="n"/>
      <c r="AM51" s="471" t="n"/>
      <c r="AN51" s="471" t="n"/>
      <c r="AO51" s="471" t="n"/>
      <c r="AP51" s="471" t="n"/>
      <c r="AQ51" s="471" t="n"/>
      <c r="AR51" s="471" t="n"/>
    </row>
    <row r="52" ht="15.75" customFormat="1" customHeight="1" s="383">
      <c r="A52" s="473" t="n"/>
      <c r="B52" s="474" t="inlineStr">
        <is>
          <t>Двери наружные входные</t>
        </is>
      </c>
      <c r="C52" s="475" t="n"/>
      <c r="D52" s="475" t="n"/>
      <c r="E52" s="475" t="n"/>
      <c r="F52" s="475" t="n"/>
      <c r="G52" s="475" t="n"/>
      <c r="H52" s="475" t="n"/>
      <c r="I52" s="475" t="n"/>
      <c r="J52" s="475" t="n"/>
      <c r="K52" s="476" t="n"/>
      <c r="L52" s="477" t="n"/>
      <c r="M52" s="477" t="n"/>
      <c r="N52" s="478" t="n"/>
      <c r="O52" s="478" t="n"/>
      <c r="P52" s="478" t="n"/>
      <c r="Q52" s="479" t="n"/>
      <c r="R52" s="479" t="n"/>
      <c r="S52" s="479" t="n"/>
      <c r="T52" s="479" t="n"/>
      <c r="U52" s="479" t="n"/>
      <c r="V52" s="480" t="n"/>
      <c r="W52" s="480" t="n"/>
      <c r="X52" s="480" t="n"/>
      <c r="Y52" s="480" t="n"/>
      <c r="Z52" s="480" t="n"/>
      <c r="AA52" s="480" t="n"/>
      <c r="AB52" s="480" t="n"/>
      <c r="AC52" s="481" t="n"/>
      <c r="AD52" s="481" t="n"/>
      <c r="AE52" s="481" t="n"/>
      <c r="AF52" s="481" t="n"/>
      <c r="AG52" s="482" t="n"/>
      <c r="AH52" s="470" t="n"/>
      <c r="AI52" s="471" t="n"/>
      <c r="AJ52" s="472" t="n"/>
      <c r="AK52" s="470" t="n"/>
      <c r="AL52" s="471" t="n"/>
      <c r="AM52" s="471" t="n"/>
      <c r="AN52" s="471" t="n"/>
      <c r="AO52" s="471" t="n"/>
      <c r="AP52" s="471" t="n"/>
      <c r="AQ52" s="471" t="n"/>
      <c r="AR52" s="471" t="n"/>
    </row>
    <row r="53" ht="63" customFormat="1" customHeight="1" s="383">
      <c r="A53" s="483" t="n">
        <v>8</v>
      </c>
      <c r="B53" s="484" t="inlineStr">
        <is>
          <t>Изготовление и монтаж дверных блоков входных двупольных Д17*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</t>
        </is>
      </c>
      <c r="C53" s="444" t="n"/>
      <c r="D53" s="444" t="n"/>
      <c r="E53" s="444" t="n"/>
      <c r="F53" s="444" t="n"/>
      <c r="G53" s="444" t="n"/>
      <c r="H53" s="444" t="n"/>
      <c r="I53" s="444" t="n"/>
      <c r="J53" s="341" t="n"/>
      <c r="K53" s="485" t="n"/>
      <c r="L53" s="486" t="n"/>
      <c r="M53" s="487" t="n"/>
      <c r="N53" s="488">
        <f>ROUND(18.8*0.7,2)</f>
        <v/>
      </c>
      <c r="O53" s="447" t="n"/>
      <c r="P53" s="447" t="n"/>
      <c r="Q53" s="447" t="n"/>
      <c r="R53" s="447" t="n"/>
      <c r="S53" s="447" t="n"/>
      <c r="T53" s="447" t="n"/>
      <c r="U53" s="448" t="n"/>
      <c r="V53" s="489">
        <f>AA53+AB54</f>
        <v/>
      </c>
      <c r="W53" s="444" t="n"/>
      <c r="X53" s="444" t="n"/>
      <c r="Y53" s="444" t="n"/>
      <c r="Z53" s="341" t="n"/>
      <c r="AA53" s="490" t="n">
        <v>2966</v>
      </c>
      <c r="AB53" s="490" t="n"/>
      <c r="AC53" s="489">
        <f>AF53+AG54</f>
        <v/>
      </c>
      <c r="AD53" s="444" t="n"/>
      <c r="AE53" s="341" t="n"/>
      <c r="AF53" s="490">
        <f>N53*AA53</f>
        <v/>
      </c>
      <c r="AG53" s="491" t="n"/>
      <c r="AH53" s="470" t="n"/>
      <c r="AI53" s="471" t="n"/>
      <c r="AJ53" s="472" t="n"/>
      <c r="AK53" s="470" t="n"/>
      <c r="AL53" s="471" t="n"/>
      <c r="AM53" s="471" t="n"/>
      <c r="AN53" s="471" t="n"/>
      <c r="AO53" s="471" t="n"/>
      <c r="AP53" s="471" t="n"/>
      <c r="AQ53" s="471" t="n"/>
      <c r="AR53" s="471" t="n"/>
    </row>
    <row r="54" ht="20.25" customFormat="1" customHeight="1" s="383">
      <c r="A54" s="492" t="n"/>
      <c r="B54" s="493" t="n"/>
      <c r="C54" s="494" t="inlineStr">
        <is>
          <t>Дверной блок наружный  ДНМО 2410х1300 П</t>
        </is>
      </c>
      <c r="D54" s="444" t="n"/>
      <c r="E54" s="444" t="n"/>
      <c r="F54" s="444" t="n"/>
      <c r="G54" s="444" t="n"/>
      <c r="H54" s="444" t="n"/>
      <c r="I54" s="444" t="n"/>
      <c r="J54" s="341" t="n"/>
      <c r="K54" s="495" t="n"/>
      <c r="L54" s="496" t="inlineStr">
        <is>
          <t>м2</t>
        </is>
      </c>
      <c r="M54" s="497" t="n"/>
      <c r="N54" s="449" t="n"/>
      <c r="O54" s="450" t="n"/>
      <c r="P54" s="450" t="n"/>
      <c r="Q54" s="450" t="n"/>
      <c r="R54" s="450" t="n"/>
      <c r="S54" s="450" t="n"/>
      <c r="T54" s="450" t="n"/>
      <c r="U54" s="451" t="n"/>
      <c r="V54" s="498" t="n"/>
      <c r="W54" s="444" t="n"/>
      <c r="X54" s="444" t="n"/>
      <c r="Y54" s="444" t="n"/>
      <c r="Z54" s="341" t="n"/>
      <c r="AA54" s="499" t="n"/>
      <c r="AB54" s="499" t="n">
        <v>19734.44</v>
      </c>
      <c r="AC54" s="498" t="n"/>
      <c r="AD54" s="444" t="n"/>
      <c r="AE54" s="341" t="n"/>
      <c r="AF54" s="499" t="n"/>
      <c r="AG54" s="500">
        <f>AB54*N53</f>
        <v/>
      </c>
      <c r="AH54" s="470" t="n"/>
      <c r="AI54" s="471" t="n"/>
      <c r="AJ54" s="472" t="n"/>
      <c r="AK54" s="470" t="n"/>
      <c r="AL54" s="471" t="n"/>
      <c r="AM54" s="471" t="n"/>
      <c r="AN54" s="471" t="n"/>
      <c r="AO54" s="471" t="n"/>
      <c r="AP54" s="471" t="n"/>
      <c r="AQ54" s="471" t="n"/>
      <c r="AR54" s="471" t="n"/>
    </row>
    <row r="55" ht="63" customFormat="1" customHeight="1" s="383">
      <c r="A55" s="483" t="n">
        <v>9</v>
      </c>
      <c r="B55" s="484" t="inlineStr">
        <is>
          <t xml:space="preserve">Изготовление и монтаж дверных блоков входных  Д18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55" s="444" t="n"/>
      <c r="D55" s="444" t="n"/>
      <c r="E55" s="444" t="n"/>
      <c r="F55" s="444" t="n"/>
      <c r="G55" s="444" t="n"/>
      <c r="H55" s="444" t="n"/>
      <c r="I55" s="444" t="n"/>
      <c r="J55" s="341" t="n"/>
      <c r="K55" s="485" t="n"/>
      <c r="L55" s="486" t="n"/>
      <c r="M55" s="487" t="n"/>
      <c r="N55" s="488">
        <f>ROUND(2.1*0.7,2)</f>
        <v/>
      </c>
      <c r="O55" s="447" t="n"/>
      <c r="P55" s="447" t="n"/>
      <c r="Q55" s="447" t="n"/>
      <c r="R55" s="447" t="n"/>
      <c r="S55" s="447" t="n"/>
      <c r="T55" s="447" t="n"/>
      <c r="U55" s="448" t="n"/>
      <c r="V55" s="489">
        <f>AA55+AB56</f>
        <v/>
      </c>
      <c r="W55" s="444" t="n"/>
      <c r="X55" s="444" t="n"/>
      <c r="Y55" s="444" t="n"/>
      <c r="Z55" s="341" t="n"/>
      <c r="AA55" s="490" t="n">
        <v>2966</v>
      </c>
      <c r="AB55" s="490" t="n"/>
      <c r="AC55" s="489">
        <f>AF55+AG56</f>
        <v/>
      </c>
      <c r="AD55" s="444" t="n"/>
      <c r="AE55" s="341" t="n"/>
      <c r="AF55" s="490">
        <f>N55*AA55</f>
        <v/>
      </c>
      <c r="AG55" s="491" t="n"/>
      <c r="AH55" s="470" t="n"/>
      <c r="AI55" s="471" t="n"/>
      <c r="AJ55" s="472" t="n"/>
      <c r="AK55" s="470" t="n"/>
      <c r="AL55" s="471" t="n"/>
      <c r="AM55" s="471" t="n"/>
      <c r="AN55" s="471" t="n"/>
      <c r="AO55" s="471" t="n"/>
      <c r="AP55" s="471" t="n"/>
      <c r="AQ55" s="471" t="n"/>
      <c r="AR55" s="471" t="n"/>
    </row>
    <row r="56" ht="20.25" customFormat="1" customHeight="1" s="383">
      <c r="A56" s="492" t="n"/>
      <c r="B56" s="493" t="n"/>
      <c r="C56" s="494" t="inlineStr">
        <is>
          <t>Дверной блок наружный ДМН 2100х1000 П</t>
        </is>
      </c>
      <c r="D56" s="444" t="n"/>
      <c r="E56" s="444" t="n"/>
      <c r="F56" s="444" t="n"/>
      <c r="G56" s="444" t="n"/>
      <c r="H56" s="444" t="n"/>
      <c r="I56" s="444" t="n"/>
      <c r="J56" s="341" t="n"/>
      <c r="K56" s="495" t="n"/>
      <c r="L56" s="496" t="inlineStr">
        <is>
          <t>м2</t>
        </is>
      </c>
      <c r="M56" s="497" t="n"/>
      <c r="N56" s="449" t="n"/>
      <c r="O56" s="450" t="n"/>
      <c r="P56" s="450" t="n"/>
      <c r="Q56" s="450" t="n"/>
      <c r="R56" s="450" t="n"/>
      <c r="S56" s="450" t="n"/>
      <c r="T56" s="450" t="n"/>
      <c r="U56" s="451" t="n"/>
      <c r="V56" s="498" t="n"/>
      <c r="W56" s="444" t="n"/>
      <c r="X56" s="444" t="n"/>
      <c r="Y56" s="444" t="n"/>
      <c r="Z56" s="341" t="n"/>
      <c r="AA56" s="499" t="n"/>
      <c r="AB56" s="499" t="n">
        <v>19734.44</v>
      </c>
      <c r="AC56" s="498" t="n"/>
      <c r="AD56" s="444" t="n"/>
      <c r="AE56" s="341" t="n"/>
      <c r="AF56" s="499" t="n"/>
      <c r="AG56" s="500">
        <f>AB56*N55</f>
        <v/>
      </c>
      <c r="AH56" s="470" t="n"/>
      <c r="AI56" s="471" t="n"/>
      <c r="AJ56" s="472" t="n"/>
      <c r="AK56" s="470" t="n"/>
      <c r="AL56" s="471" t="n"/>
      <c r="AM56" s="471" t="n"/>
      <c r="AN56" s="471" t="n"/>
      <c r="AO56" s="471" t="n"/>
      <c r="AP56" s="471" t="n"/>
      <c r="AQ56" s="471" t="n"/>
      <c r="AR56" s="471" t="n"/>
    </row>
    <row r="57" ht="63" customFormat="1" customHeight="1" s="383">
      <c r="A57" s="483" t="n">
        <v>10</v>
      </c>
      <c r="B57" s="484" t="inlineStr">
        <is>
          <t xml:space="preserve">Изготовление и монтаж дверных блоков входных однопольных Д21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57" s="444" t="n"/>
      <c r="D57" s="444" t="n"/>
      <c r="E57" s="444" t="n"/>
      <c r="F57" s="444" t="n"/>
      <c r="G57" s="444" t="n"/>
      <c r="H57" s="444" t="n"/>
      <c r="I57" s="444" t="n"/>
      <c r="J57" s="341" t="n"/>
      <c r="K57" s="485" t="n"/>
      <c r="L57" s="486" t="n"/>
      <c r="M57" s="487" t="n"/>
      <c r="N57" s="488">
        <f>ROUND(2.52*0.7,2)</f>
        <v/>
      </c>
      <c r="O57" s="447" t="n"/>
      <c r="P57" s="447" t="n"/>
      <c r="Q57" s="447" t="n"/>
      <c r="R57" s="447" t="n"/>
      <c r="S57" s="447" t="n"/>
      <c r="T57" s="447" t="n"/>
      <c r="U57" s="448" t="n"/>
      <c r="V57" s="489">
        <f>AA57+AB58</f>
        <v/>
      </c>
      <c r="W57" s="444" t="n"/>
      <c r="X57" s="444" t="n"/>
      <c r="Y57" s="444" t="n"/>
      <c r="Z57" s="341" t="n"/>
      <c r="AA57" s="490" t="n">
        <v>2966</v>
      </c>
      <c r="AB57" s="490" t="n"/>
      <c r="AC57" s="489">
        <f>AF57+AG58</f>
        <v/>
      </c>
      <c r="AD57" s="444" t="n"/>
      <c r="AE57" s="341" t="n"/>
      <c r="AF57" s="490">
        <f>N57*AA57</f>
        <v/>
      </c>
      <c r="AG57" s="491" t="n"/>
      <c r="AH57" s="470" t="n"/>
      <c r="AI57" s="471" t="n"/>
      <c r="AJ57" s="472" t="n"/>
      <c r="AK57" s="470" t="n"/>
      <c r="AL57" s="471" t="n"/>
      <c r="AM57" s="471" t="n"/>
      <c r="AN57" s="471" t="n"/>
      <c r="AO57" s="471" t="n"/>
      <c r="AP57" s="471" t="n"/>
      <c r="AQ57" s="471" t="n"/>
      <c r="AR57" s="471" t="n"/>
    </row>
    <row r="58" ht="20.25" customFormat="1" customHeight="1" s="383">
      <c r="A58" s="492" t="n"/>
      <c r="B58" s="493" t="n"/>
      <c r="C58" s="494" t="inlineStr">
        <is>
          <t>Дверной блок наружный ДНМО 2100х1200 П</t>
        </is>
      </c>
      <c r="D58" s="444" t="n"/>
      <c r="E58" s="444" t="n"/>
      <c r="F58" s="444" t="n"/>
      <c r="G58" s="444" t="n"/>
      <c r="H58" s="444" t="n"/>
      <c r="I58" s="444" t="n"/>
      <c r="J58" s="341" t="n"/>
      <c r="K58" s="495" t="n"/>
      <c r="L58" s="496" t="inlineStr">
        <is>
          <t>м2</t>
        </is>
      </c>
      <c r="M58" s="497" t="n"/>
      <c r="N58" s="449" t="n"/>
      <c r="O58" s="450" t="n"/>
      <c r="P58" s="450" t="n"/>
      <c r="Q58" s="450" t="n"/>
      <c r="R58" s="450" t="n"/>
      <c r="S58" s="450" t="n"/>
      <c r="T58" s="450" t="n"/>
      <c r="U58" s="451" t="n"/>
      <c r="V58" s="498" t="n"/>
      <c r="W58" s="444" t="n"/>
      <c r="X58" s="444" t="n"/>
      <c r="Y58" s="444" t="n"/>
      <c r="Z58" s="341" t="n"/>
      <c r="AA58" s="499" t="n"/>
      <c r="AB58" s="499" t="n">
        <v>19734.44</v>
      </c>
      <c r="AC58" s="498" t="n"/>
      <c r="AD58" s="444" t="n"/>
      <c r="AE58" s="341" t="n"/>
      <c r="AF58" s="499" t="n"/>
      <c r="AG58" s="500">
        <f>AB58*N57</f>
        <v/>
      </c>
      <c r="AH58" s="470" t="n"/>
      <c r="AI58" s="471" t="n"/>
      <c r="AJ58" s="472" t="n"/>
      <c r="AK58" s="470" t="n"/>
      <c r="AL58" s="471" t="n"/>
      <c r="AM58" s="471" t="n"/>
      <c r="AN58" s="471" t="n"/>
      <c r="AO58" s="471" t="n"/>
      <c r="AP58" s="471" t="n"/>
      <c r="AQ58" s="471" t="n"/>
      <c r="AR58" s="471" t="n"/>
    </row>
    <row r="59" ht="63" customFormat="1" customHeight="1" s="383">
      <c r="A59" s="483" t="n">
        <v>11</v>
      </c>
      <c r="B59" s="484" t="inlineStr">
        <is>
          <t xml:space="preserve">Изготовление и монтаж дверных блоков входных двупольных  Д22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59" s="444" t="n"/>
      <c r="D59" s="444" t="n"/>
      <c r="E59" s="444" t="n"/>
      <c r="F59" s="444" t="n"/>
      <c r="G59" s="444" t="n"/>
      <c r="H59" s="444" t="n"/>
      <c r="I59" s="444" t="n"/>
      <c r="J59" s="341" t="n"/>
      <c r="K59" s="485" t="n"/>
      <c r="L59" s="486" t="n"/>
      <c r="M59" s="487" t="n"/>
      <c r="N59" s="488">
        <f>ROUND(2.73*0.7,2)</f>
        <v/>
      </c>
      <c r="O59" s="447" t="n"/>
      <c r="P59" s="447" t="n"/>
      <c r="Q59" s="447" t="n"/>
      <c r="R59" s="447" t="n"/>
      <c r="S59" s="447" t="n"/>
      <c r="T59" s="447" t="n"/>
      <c r="U59" s="448" t="n"/>
      <c r="V59" s="489">
        <f>AA59+AB60</f>
        <v/>
      </c>
      <c r="W59" s="444" t="n"/>
      <c r="X59" s="444" t="n"/>
      <c r="Y59" s="444" t="n"/>
      <c r="Z59" s="341" t="n"/>
      <c r="AA59" s="490" t="n">
        <v>2966</v>
      </c>
      <c r="AB59" s="490" t="n"/>
      <c r="AC59" s="489">
        <f>AF59+AG60</f>
        <v/>
      </c>
      <c r="AD59" s="444" t="n"/>
      <c r="AE59" s="341" t="n"/>
      <c r="AF59" s="490">
        <f>N59*AA59</f>
        <v/>
      </c>
      <c r="AG59" s="491" t="n"/>
      <c r="AH59" s="470" t="n"/>
      <c r="AI59" s="471" t="n"/>
      <c r="AJ59" s="472" t="n"/>
      <c r="AK59" s="470" t="n"/>
      <c r="AL59" s="471" t="n"/>
      <c r="AM59" s="471" t="n"/>
      <c r="AN59" s="471" t="n"/>
      <c r="AO59" s="471" t="n"/>
      <c r="AP59" s="471" t="n"/>
      <c r="AQ59" s="471" t="n"/>
      <c r="AR59" s="471" t="n"/>
    </row>
    <row r="60" ht="20.25" customFormat="1" customHeight="1" s="383">
      <c r="A60" s="492" t="n"/>
      <c r="B60" s="493" t="n"/>
      <c r="C60" s="494" t="inlineStr">
        <is>
          <t>Дверной блок наружный  ДМНО 2100х1300 П</t>
        </is>
      </c>
      <c r="D60" s="444" t="n"/>
      <c r="E60" s="444" t="n"/>
      <c r="F60" s="444" t="n"/>
      <c r="G60" s="444" t="n"/>
      <c r="H60" s="444" t="n"/>
      <c r="I60" s="444" t="n"/>
      <c r="J60" s="341" t="n"/>
      <c r="K60" s="495" t="n"/>
      <c r="L60" s="496" t="inlineStr">
        <is>
          <t>м2</t>
        </is>
      </c>
      <c r="M60" s="497" t="n"/>
      <c r="N60" s="449" t="n"/>
      <c r="O60" s="450" t="n"/>
      <c r="P60" s="450" t="n"/>
      <c r="Q60" s="450" t="n"/>
      <c r="R60" s="450" t="n"/>
      <c r="S60" s="450" t="n"/>
      <c r="T60" s="450" t="n"/>
      <c r="U60" s="451" t="n"/>
      <c r="V60" s="498" t="n"/>
      <c r="W60" s="444" t="n"/>
      <c r="X60" s="444" t="n"/>
      <c r="Y60" s="444" t="n"/>
      <c r="Z60" s="341" t="n"/>
      <c r="AA60" s="499" t="n"/>
      <c r="AB60" s="499" t="n">
        <v>19734.44</v>
      </c>
      <c r="AC60" s="498" t="n"/>
      <c r="AD60" s="444" t="n"/>
      <c r="AE60" s="341" t="n"/>
      <c r="AF60" s="499" t="n"/>
      <c r="AG60" s="500">
        <f>AB60*N59</f>
        <v/>
      </c>
      <c r="AH60" s="470" t="n"/>
      <c r="AI60" s="471" t="n"/>
      <c r="AJ60" s="472" t="n"/>
      <c r="AK60" s="470" t="n"/>
      <c r="AL60" s="471" t="n"/>
      <c r="AM60" s="471" t="n"/>
      <c r="AN60" s="471" t="n"/>
      <c r="AO60" s="471" t="n"/>
      <c r="AP60" s="471" t="n"/>
      <c r="AQ60" s="471" t="n"/>
      <c r="AR60" s="471" t="n"/>
    </row>
    <row r="61" ht="15.75" customFormat="1" customHeight="1" s="383">
      <c r="A61" s="462" t="n"/>
      <c r="B61" s="444" t="n"/>
      <c r="C61" s="501" t="n"/>
      <c r="D61" s="444" t="n"/>
      <c r="E61" s="444" t="n"/>
      <c r="F61" s="444" t="n"/>
      <c r="G61" s="444" t="n"/>
      <c r="H61" s="444" t="n"/>
      <c r="I61" s="444" t="n"/>
      <c r="J61" s="444" t="n"/>
      <c r="K61" s="464" t="n"/>
      <c r="L61" s="502" t="inlineStr">
        <is>
          <t>м2</t>
        </is>
      </c>
      <c r="M61" s="465" t="n"/>
      <c r="N61" s="503" t="n"/>
      <c r="O61" s="444" t="n"/>
      <c r="P61" s="444" t="n"/>
      <c r="Q61" s="467" t="n"/>
      <c r="R61" s="504">
        <f>SUM(N37:U60)</f>
        <v/>
      </c>
      <c r="S61" s="444" t="n"/>
      <c r="T61" s="444" t="n"/>
      <c r="U61" s="444" t="n"/>
      <c r="V61" s="468" t="n"/>
      <c r="W61" s="444" t="n"/>
      <c r="X61" s="444" t="n"/>
      <c r="Y61" s="444" t="n"/>
      <c r="Z61" s="444" t="n"/>
      <c r="AA61" s="468" t="n"/>
      <c r="AB61" s="468" t="n"/>
      <c r="AC61" s="505">
        <f>SUM(AC37:AE60)</f>
        <v/>
      </c>
      <c r="AD61" s="444" t="n"/>
      <c r="AE61" s="444" t="n"/>
      <c r="AF61" s="506" t="n"/>
      <c r="AG61" s="469" t="n"/>
      <c r="AH61" s="470" t="n"/>
      <c r="AI61" s="471" t="n"/>
      <c r="AJ61" s="472" t="n"/>
      <c r="AK61" s="470" t="n"/>
      <c r="AL61" s="471" t="n"/>
      <c r="AM61" s="471" t="n"/>
      <c r="AN61" s="471" t="n"/>
      <c r="AO61" s="471" t="n"/>
      <c r="AP61" s="471" t="n"/>
      <c r="AQ61" s="471" t="n"/>
      <c r="AR61" s="471" t="n"/>
    </row>
    <row r="62" ht="15.75" customFormat="1" customHeight="1" s="383">
      <c r="A62" s="462" t="n"/>
      <c r="B62" s="444" t="n"/>
      <c r="C62" s="463" t="inlineStr">
        <is>
          <t>Блок-секция Б</t>
        </is>
      </c>
      <c r="D62" s="444" t="n"/>
      <c r="E62" s="444" t="n"/>
      <c r="F62" s="444" t="n"/>
      <c r="G62" s="444" t="n"/>
      <c r="H62" s="444" t="n"/>
      <c r="I62" s="444" t="n"/>
      <c r="J62" s="444" t="n"/>
      <c r="K62" s="464" t="n"/>
      <c r="L62" s="465" t="n"/>
      <c r="M62" s="465" t="n"/>
      <c r="N62" s="466" t="n"/>
      <c r="O62" s="444" t="n"/>
      <c r="P62" s="444" t="n"/>
      <c r="Q62" s="467" t="n"/>
      <c r="R62" s="467" t="n"/>
      <c r="S62" s="444" t="n"/>
      <c r="T62" s="444" t="n"/>
      <c r="U62" s="444" t="n"/>
      <c r="V62" s="468" t="n"/>
      <c r="W62" s="444" t="n"/>
      <c r="X62" s="444" t="n"/>
      <c r="Y62" s="444" t="n"/>
      <c r="Z62" s="444" t="n"/>
      <c r="AA62" s="468" t="n"/>
      <c r="AB62" s="468" t="n"/>
      <c r="AC62" s="469" t="n"/>
      <c r="AD62" s="444" t="n"/>
      <c r="AE62" s="444" t="n"/>
      <c r="AF62" s="444" t="n"/>
      <c r="AG62" s="341" t="n"/>
      <c r="AH62" s="470" t="n"/>
      <c r="AI62" s="471" t="n"/>
      <c r="AJ62" s="472" t="n"/>
      <c r="AK62" s="470" t="n"/>
      <c r="AL62" s="471" t="n"/>
      <c r="AM62" s="471" t="n"/>
      <c r="AN62" s="471" t="n"/>
      <c r="AO62" s="471" t="n"/>
      <c r="AP62" s="471" t="n"/>
      <c r="AQ62" s="471" t="n"/>
      <c r="AR62" s="471" t="n"/>
    </row>
    <row r="63" ht="15.75" customFormat="1" customHeight="1" s="383">
      <c r="A63" s="473" t="n"/>
      <c r="B63" s="474" t="inlineStr">
        <is>
          <t>Витражные блоки</t>
        </is>
      </c>
      <c r="C63" s="475" t="n"/>
      <c r="D63" s="475" t="n"/>
      <c r="E63" s="475" t="n"/>
      <c r="F63" s="475" t="n"/>
      <c r="G63" s="475" t="n"/>
      <c r="H63" s="475" t="n"/>
      <c r="I63" s="475" t="n"/>
      <c r="J63" s="475" t="n"/>
      <c r="K63" s="476" t="n"/>
      <c r="L63" s="477" t="n"/>
      <c r="M63" s="477" t="n"/>
      <c r="N63" s="478" t="n"/>
      <c r="O63" s="478" t="n"/>
      <c r="P63" s="478" t="n"/>
      <c r="Q63" s="479" t="n"/>
      <c r="R63" s="479" t="n"/>
      <c r="S63" s="479" t="n"/>
      <c r="T63" s="479" t="n"/>
      <c r="U63" s="479" t="n"/>
      <c r="V63" s="480" t="n"/>
      <c r="W63" s="480" t="n"/>
      <c r="X63" s="480" t="n"/>
      <c r="Y63" s="480" t="n"/>
      <c r="Z63" s="480" t="n"/>
      <c r="AA63" s="480" t="n"/>
      <c r="AB63" s="480" t="n"/>
      <c r="AC63" s="481" t="n"/>
      <c r="AD63" s="481" t="n"/>
      <c r="AE63" s="481" t="n"/>
      <c r="AF63" s="481" t="n"/>
      <c r="AG63" s="482" t="n"/>
      <c r="AH63" s="470" t="n"/>
      <c r="AI63" s="471" t="n"/>
      <c r="AJ63" s="472" t="n"/>
      <c r="AK63" s="470" t="n"/>
      <c r="AL63" s="471" t="n"/>
      <c r="AM63" s="471" t="n"/>
      <c r="AN63" s="471" t="n"/>
      <c r="AO63" s="471" t="n"/>
      <c r="AP63" s="471" t="n"/>
      <c r="AQ63" s="471" t="n"/>
      <c r="AR63" s="471" t="n"/>
    </row>
    <row r="64" ht="80" customFormat="1" customHeight="1" s="383">
      <c r="A64" s="483" t="n">
        <v>1</v>
      </c>
      <c r="B64" s="484" t="inlineStr">
        <is>
          <t>Изготовление и монтаж витража Вн-6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64" s="444" t="n"/>
      <c r="D64" s="444" t="n"/>
      <c r="E64" s="444" t="n"/>
      <c r="F64" s="444" t="n"/>
      <c r="G64" s="444" t="n"/>
      <c r="H64" s="444" t="n"/>
      <c r="I64" s="444" t="n"/>
      <c r="J64" s="341" t="n"/>
      <c r="K64" s="485" t="n"/>
      <c r="L64" s="486" t="n"/>
      <c r="M64" s="487" t="n"/>
      <c r="N64" s="488">
        <f>ROUND(80.98*0.7,2)</f>
        <v/>
      </c>
      <c r="O64" s="447" t="n"/>
      <c r="P64" s="447" t="n"/>
      <c r="Q64" s="447" t="n"/>
      <c r="R64" s="447" t="n"/>
      <c r="S64" s="447" t="n"/>
      <c r="T64" s="447" t="n"/>
      <c r="U64" s="448" t="n"/>
      <c r="V64" s="489">
        <f>AA64+AB65</f>
        <v/>
      </c>
      <c r="W64" s="444" t="n"/>
      <c r="X64" s="444" t="n"/>
      <c r="Y64" s="444" t="n"/>
      <c r="Z64" s="341" t="n"/>
      <c r="AA64" s="490" t="n">
        <v>2966</v>
      </c>
      <c r="AB64" s="490" t="n"/>
      <c r="AC64" s="489">
        <f>AF64+AG65</f>
        <v/>
      </c>
      <c r="AD64" s="444" t="n"/>
      <c r="AE64" s="341" t="n"/>
      <c r="AF64" s="490">
        <f>N64*AA64</f>
        <v/>
      </c>
      <c r="AG64" s="491" t="n"/>
      <c r="AH64" s="470" t="n"/>
      <c r="AI64" s="471" t="n"/>
      <c r="AJ64" s="472" t="n"/>
      <c r="AK64" s="470" t="n"/>
      <c r="AL64" s="471" t="n"/>
      <c r="AM64" s="471" t="n"/>
      <c r="AN64" s="471" t="n"/>
      <c r="AO64" s="471" t="n"/>
      <c r="AP64" s="471" t="n"/>
      <c r="AQ64" s="471" t="n"/>
      <c r="AR64" s="471" t="n"/>
    </row>
    <row r="65" ht="20.25" customFormat="1" customHeight="1" s="383">
      <c r="A65" s="492" t="n"/>
      <c r="B65" s="493" t="n"/>
      <c r="C65" s="494" t="inlineStr">
        <is>
          <t>Витражный блок Вн-6 (4200х4820 мм)</t>
        </is>
      </c>
      <c r="D65" s="444" t="n"/>
      <c r="E65" s="444" t="n"/>
      <c r="F65" s="444" t="n"/>
      <c r="G65" s="444" t="n"/>
      <c r="H65" s="444" t="n"/>
      <c r="I65" s="444" t="n"/>
      <c r="J65" s="341" t="n"/>
      <c r="K65" s="495" t="n"/>
      <c r="L65" s="496" t="inlineStr">
        <is>
          <t>м2</t>
        </is>
      </c>
      <c r="M65" s="497" t="n"/>
      <c r="N65" s="449" t="n"/>
      <c r="O65" s="450" t="n"/>
      <c r="P65" s="450" t="n"/>
      <c r="Q65" s="450" t="n"/>
      <c r="R65" s="450" t="n"/>
      <c r="S65" s="450" t="n"/>
      <c r="T65" s="450" t="n"/>
      <c r="U65" s="451" t="n"/>
      <c r="V65" s="498" t="n"/>
      <c r="W65" s="444" t="n"/>
      <c r="X65" s="444" t="n"/>
      <c r="Y65" s="444" t="n"/>
      <c r="Z65" s="341" t="n"/>
      <c r="AA65" s="499" t="n"/>
      <c r="AB65" s="499" t="n">
        <v>19734.44</v>
      </c>
      <c r="AC65" s="498" t="n"/>
      <c r="AD65" s="444" t="n"/>
      <c r="AE65" s="341" t="n"/>
      <c r="AF65" s="499" t="n"/>
      <c r="AG65" s="500">
        <f>AB65*N64</f>
        <v/>
      </c>
      <c r="AH65" s="470" t="n"/>
      <c r="AI65" s="471" t="n"/>
      <c r="AJ65" s="472" t="n"/>
      <c r="AK65" s="470" t="n"/>
      <c r="AL65" s="471" t="n"/>
      <c r="AM65" s="471" t="n"/>
      <c r="AN65" s="471" t="n"/>
      <c r="AO65" s="471" t="n"/>
      <c r="AP65" s="471" t="n"/>
      <c r="AQ65" s="471" t="n"/>
      <c r="AR65" s="471" t="n"/>
    </row>
    <row r="66" ht="80" customFormat="1" customHeight="1" s="383">
      <c r="A66" s="483" t="n">
        <v>2</v>
      </c>
      <c r="B66" s="484" t="inlineStr">
        <is>
          <t>Изготовление и монтаж витража Вн-15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66" s="444" t="n"/>
      <c r="D66" s="444" t="n"/>
      <c r="E66" s="444" t="n"/>
      <c r="F66" s="444" t="n"/>
      <c r="G66" s="444" t="n"/>
      <c r="H66" s="444" t="n"/>
      <c r="I66" s="444" t="n"/>
      <c r="J66" s="341" t="n"/>
      <c r="K66" s="485" t="n"/>
      <c r="L66" s="486" t="n"/>
      <c r="M66" s="487" t="n"/>
      <c r="N66" s="488">
        <f>ROUND(6.75*0.7,2)</f>
        <v/>
      </c>
      <c r="O66" s="447" t="n"/>
      <c r="P66" s="447" t="n"/>
      <c r="Q66" s="447" t="n"/>
      <c r="R66" s="447" t="n"/>
      <c r="S66" s="447" t="n"/>
      <c r="T66" s="447" t="n"/>
      <c r="U66" s="448" t="n"/>
      <c r="V66" s="489">
        <f>AA66+AB67</f>
        <v/>
      </c>
      <c r="W66" s="444" t="n"/>
      <c r="X66" s="444" t="n"/>
      <c r="Y66" s="444" t="n"/>
      <c r="Z66" s="341" t="n"/>
      <c r="AA66" s="490" t="n">
        <v>2966</v>
      </c>
      <c r="AB66" s="490" t="n"/>
      <c r="AC66" s="489">
        <f>AF66+AG67</f>
        <v/>
      </c>
      <c r="AD66" s="444" t="n"/>
      <c r="AE66" s="341" t="n"/>
      <c r="AF66" s="490">
        <f>N66*AA66</f>
        <v/>
      </c>
      <c r="AG66" s="491" t="n"/>
      <c r="AH66" s="470" t="n"/>
      <c r="AI66" s="471" t="n"/>
      <c r="AJ66" s="472" t="n"/>
      <c r="AK66" s="470" t="n"/>
      <c r="AL66" s="471" t="n"/>
      <c r="AM66" s="471" t="n"/>
      <c r="AN66" s="471" t="n"/>
      <c r="AO66" s="471" t="n"/>
      <c r="AP66" s="471" t="n"/>
      <c r="AQ66" s="471" t="n"/>
      <c r="AR66" s="471" t="n"/>
    </row>
    <row r="67" ht="20.25" customFormat="1" customHeight="1" s="383">
      <c r="A67" s="492" t="n"/>
      <c r="B67" s="493" t="n"/>
      <c r="C67" s="494" t="inlineStr">
        <is>
          <t>Витражный блок Вн-15 (1400х4820 мм)</t>
        </is>
      </c>
      <c r="D67" s="444" t="n"/>
      <c r="E67" s="444" t="n"/>
      <c r="F67" s="444" t="n"/>
      <c r="G67" s="444" t="n"/>
      <c r="H67" s="444" t="n"/>
      <c r="I67" s="444" t="n"/>
      <c r="J67" s="341" t="n"/>
      <c r="K67" s="495" t="n"/>
      <c r="L67" s="496" t="inlineStr">
        <is>
          <t>м2</t>
        </is>
      </c>
      <c r="M67" s="497" t="n"/>
      <c r="N67" s="449" t="n"/>
      <c r="O67" s="450" t="n"/>
      <c r="P67" s="450" t="n"/>
      <c r="Q67" s="450" t="n"/>
      <c r="R67" s="450" t="n"/>
      <c r="S67" s="450" t="n"/>
      <c r="T67" s="450" t="n"/>
      <c r="U67" s="451" t="n"/>
      <c r="V67" s="498" t="n"/>
      <c r="W67" s="444" t="n"/>
      <c r="X67" s="444" t="n"/>
      <c r="Y67" s="444" t="n"/>
      <c r="Z67" s="341" t="n"/>
      <c r="AA67" s="499" t="n"/>
      <c r="AB67" s="499" t="n">
        <v>19734.44</v>
      </c>
      <c r="AC67" s="498" t="n"/>
      <c r="AD67" s="444" t="n"/>
      <c r="AE67" s="341" t="n"/>
      <c r="AF67" s="499" t="n"/>
      <c r="AG67" s="500">
        <f>AB67*N66</f>
        <v/>
      </c>
      <c r="AH67" s="470" t="n"/>
      <c r="AI67" s="471" t="n"/>
      <c r="AJ67" s="472" t="n"/>
      <c r="AK67" s="470" t="n"/>
      <c r="AL67" s="471" t="n"/>
      <c r="AM67" s="471" t="n"/>
      <c r="AN67" s="471" t="n"/>
      <c r="AO67" s="471" t="n"/>
      <c r="AP67" s="471" t="n"/>
      <c r="AQ67" s="471" t="n"/>
      <c r="AR67" s="471" t="n"/>
    </row>
    <row r="68" ht="80" customFormat="1" customHeight="1" s="383">
      <c r="A68" s="483" t="n">
        <v>3</v>
      </c>
      <c r="B68" s="484" t="inlineStr">
        <is>
          <t>Изготовление и монтаж витража Вн-17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68" s="444" t="n"/>
      <c r="D68" s="444" t="n"/>
      <c r="E68" s="444" t="n"/>
      <c r="F68" s="444" t="n"/>
      <c r="G68" s="444" t="n"/>
      <c r="H68" s="444" t="n"/>
      <c r="I68" s="444" t="n"/>
      <c r="J68" s="341" t="n"/>
      <c r="K68" s="485" t="n"/>
      <c r="L68" s="486" t="n"/>
      <c r="M68" s="487" t="n"/>
      <c r="N68" s="488">
        <f>ROUND(20.24*0.7,2)</f>
        <v/>
      </c>
      <c r="O68" s="447" t="n"/>
      <c r="P68" s="447" t="n"/>
      <c r="Q68" s="447" t="n"/>
      <c r="R68" s="447" t="n"/>
      <c r="S68" s="447" t="n"/>
      <c r="T68" s="447" t="n"/>
      <c r="U68" s="448" t="n"/>
      <c r="V68" s="489">
        <f>AA68+AB69</f>
        <v/>
      </c>
      <c r="W68" s="444" t="n"/>
      <c r="X68" s="444" t="n"/>
      <c r="Y68" s="444" t="n"/>
      <c r="Z68" s="341" t="n"/>
      <c r="AA68" s="490" t="n">
        <v>2966</v>
      </c>
      <c r="AB68" s="490" t="n"/>
      <c r="AC68" s="489">
        <f>AF68+AG69</f>
        <v/>
      </c>
      <c r="AD68" s="444" t="n"/>
      <c r="AE68" s="341" t="n"/>
      <c r="AF68" s="490">
        <f>N68*AA68</f>
        <v/>
      </c>
      <c r="AG68" s="491" t="n"/>
      <c r="AH68" s="470" t="n"/>
      <c r="AI68" s="471" t="n"/>
      <c r="AJ68" s="472" t="n"/>
      <c r="AK68" s="470" t="n"/>
      <c r="AL68" s="471" t="n"/>
      <c r="AM68" s="471" t="n"/>
      <c r="AN68" s="471" t="n"/>
      <c r="AO68" s="471" t="n"/>
      <c r="AP68" s="471" t="n"/>
      <c r="AQ68" s="471" t="n"/>
      <c r="AR68" s="471" t="n"/>
    </row>
    <row r="69" ht="20.25" customFormat="1" customHeight="1" s="383">
      <c r="A69" s="492" t="n"/>
      <c r="B69" s="493" t="n"/>
      <c r="C69" s="494" t="inlineStr">
        <is>
          <t>Витражный блок Вн-17 (4200х4820 мм)</t>
        </is>
      </c>
      <c r="D69" s="444" t="n"/>
      <c r="E69" s="444" t="n"/>
      <c r="F69" s="444" t="n"/>
      <c r="G69" s="444" t="n"/>
      <c r="H69" s="444" t="n"/>
      <c r="I69" s="444" t="n"/>
      <c r="J69" s="341" t="n"/>
      <c r="K69" s="495" t="n"/>
      <c r="L69" s="496" t="inlineStr">
        <is>
          <t>м2</t>
        </is>
      </c>
      <c r="M69" s="497" t="n"/>
      <c r="N69" s="449" t="n"/>
      <c r="O69" s="450" t="n"/>
      <c r="P69" s="450" t="n"/>
      <c r="Q69" s="450" t="n"/>
      <c r="R69" s="450" t="n"/>
      <c r="S69" s="450" t="n"/>
      <c r="T69" s="450" t="n"/>
      <c r="U69" s="451" t="n"/>
      <c r="V69" s="498" t="n"/>
      <c r="W69" s="444" t="n"/>
      <c r="X69" s="444" t="n"/>
      <c r="Y69" s="444" t="n"/>
      <c r="Z69" s="341" t="n"/>
      <c r="AA69" s="499" t="n"/>
      <c r="AB69" s="499" t="n">
        <v>19734.44</v>
      </c>
      <c r="AC69" s="498" t="n"/>
      <c r="AD69" s="444" t="n"/>
      <c r="AE69" s="341" t="n"/>
      <c r="AF69" s="499" t="n"/>
      <c r="AG69" s="500">
        <f>AB69*N68</f>
        <v/>
      </c>
      <c r="AH69" s="470" t="n"/>
      <c r="AI69" s="471" t="n"/>
      <c r="AJ69" s="472" t="n"/>
      <c r="AK69" s="470" t="n"/>
      <c r="AL69" s="471" t="n"/>
      <c r="AM69" s="471" t="n"/>
      <c r="AN69" s="471" t="n"/>
      <c r="AO69" s="471" t="n"/>
      <c r="AP69" s="471" t="n"/>
      <c r="AQ69" s="471" t="n"/>
      <c r="AR69" s="471" t="n"/>
    </row>
    <row r="70" ht="80" customFormat="1" customHeight="1" s="383">
      <c r="A70" s="483" t="n">
        <v>4</v>
      </c>
      <c r="B70" s="484" t="inlineStr">
        <is>
          <t>Изготовление и монтаж витража Вн-18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70" s="444" t="n"/>
      <c r="D70" s="444" t="n"/>
      <c r="E70" s="444" t="n"/>
      <c r="F70" s="444" t="n"/>
      <c r="G70" s="444" t="n"/>
      <c r="H70" s="444" t="n"/>
      <c r="I70" s="444" t="n"/>
      <c r="J70" s="341" t="n"/>
      <c r="K70" s="485" t="n"/>
      <c r="L70" s="486" t="n"/>
      <c r="M70" s="487" t="n"/>
      <c r="N70" s="488">
        <f>ROUND(12.53*0.7,2)</f>
        <v/>
      </c>
      <c r="O70" s="447" t="n"/>
      <c r="P70" s="447" t="n"/>
      <c r="Q70" s="447" t="n"/>
      <c r="R70" s="447" t="n"/>
      <c r="S70" s="447" t="n"/>
      <c r="T70" s="447" t="n"/>
      <c r="U70" s="448" t="n"/>
      <c r="V70" s="489">
        <f>AA70+AB71</f>
        <v/>
      </c>
      <c r="W70" s="444" t="n"/>
      <c r="X70" s="444" t="n"/>
      <c r="Y70" s="444" t="n"/>
      <c r="Z70" s="341" t="n"/>
      <c r="AA70" s="490" t="n">
        <v>2966</v>
      </c>
      <c r="AB70" s="490" t="n"/>
      <c r="AC70" s="489">
        <f>AF70+AG71</f>
        <v/>
      </c>
      <c r="AD70" s="444" t="n"/>
      <c r="AE70" s="341" t="n"/>
      <c r="AF70" s="490">
        <f>N70*AA70</f>
        <v/>
      </c>
      <c r="AG70" s="491" t="n"/>
      <c r="AH70" s="470" t="n"/>
      <c r="AI70" s="471" t="n"/>
      <c r="AJ70" s="472" t="n"/>
      <c r="AK70" s="470" t="n"/>
      <c r="AL70" s="471" t="n"/>
      <c r="AM70" s="471" t="n"/>
      <c r="AN70" s="471" t="n"/>
      <c r="AO70" s="471" t="n"/>
      <c r="AP70" s="471" t="n"/>
      <c r="AQ70" s="471" t="n"/>
      <c r="AR70" s="471" t="n"/>
    </row>
    <row r="71" ht="20.25" customFormat="1" customHeight="1" s="383">
      <c r="A71" s="492" t="n"/>
      <c r="B71" s="493" t="n"/>
      <c r="C71" s="494" t="inlineStr">
        <is>
          <t>Витражный блок Вн-18 (2600х4820 мм)</t>
        </is>
      </c>
      <c r="D71" s="444" t="n"/>
      <c r="E71" s="444" t="n"/>
      <c r="F71" s="444" t="n"/>
      <c r="G71" s="444" t="n"/>
      <c r="H71" s="444" t="n"/>
      <c r="I71" s="444" t="n"/>
      <c r="J71" s="341" t="n"/>
      <c r="K71" s="495" t="n"/>
      <c r="L71" s="496" t="inlineStr">
        <is>
          <t>м2</t>
        </is>
      </c>
      <c r="M71" s="497" t="n"/>
      <c r="N71" s="449" t="n"/>
      <c r="O71" s="450" t="n"/>
      <c r="P71" s="450" t="n"/>
      <c r="Q71" s="450" t="n"/>
      <c r="R71" s="450" t="n"/>
      <c r="S71" s="450" t="n"/>
      <c r="T71" s="450" t="n"/>
      <c r="U71" s="451" t="n"/>
      <c r="V71" s="498" t="n"/>
      <c r="W71" s="444" t="n"/>
      <c r="X71" s="444" t="n"/>
      <c r="Y71" s="444" t="n"/>
      <c r="Z71" s="341" t="n"/>
      <c r="AA71" s="499" t="n"/>
      <c r="AB71" s="499" t="n">
        <v>19734.44</v>
      </c>
      <c r="AC71" s="498" t="n"/>
      <c r="AD71" s="444" t="n"/>
      <c r="AE71" s="341" t="n"/>
      <c r="AF71" s="499" t="n"/>
      <c r="AG71" s="500">
        <f>AB71*N70</f>
        <v/>
      </c>
      <c r="AH71" s="470" t="n"/>
      <c r="AI71" s="471" t="n"/>
      <c r="AJ71" s="472" t="n"/>
      <c r="AK71" s="470" t="n"/>
      <c r="AL71" s="471" t="n"/>
      <c r="AM71" s="471" t="n"/>
      <c r="AN71" s="471" t="n"/>
      <c r="AO71" s="471" t="n"/>
      <c r="AP71" s="471" t="n"/>
      <c r="AQ71" s="471" t="n"/>
      <c r="AR71" s="471" t="n"/>
    </row>
    <row r="72" ht="80" customFormat="1" customHeight="1" s="383">
      <c r="A72" s="483" t="n">
        <v>5</v>
      </c>
      <c r="B72" s="484" t="inlineStr">
        <is>
          <t>Изготовление и монтаж витража Вн-22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72" s="444" t="n"/>
      <c r="D72" s="444" t="n"/>
      <c r="E72" s="444" t="n"/>
      <c r="F72" s="444" t="n"/>
      <c r="G72" s="444" t="n"/>
      <c r="H72" s="444" t="n"/>
      <c r="I72" s="444" t="n"/>
      <c r="J72" s="341" t="n"/>
      <c r="K72" s="485" t="n"/>
      <c r="L72" s="486" t="n"/>
      <c r="M72" s="487" t="n"/>
      <c r="N72" s="488">
        <f>ROUND(29.24*0.7,2)</f>
        <v/>
      </c>
      <c r="O72" s="447" t="n"/>
      <c r="P72" s="447" t="n"/>
      <c r="Q72" s="447" t="n"/>
      <c r="R72" s="447" t="n"/>
      <c r="S72" s="447" t="n"/>
      <c r="T72" s="447" t="n"/>
      <c r="U72" s="448" t="n"/>
      <c r="V72" s="489">
        <f>AA72+AB73</f>
        <v/>
      </c>
      <c r="W72" s="444" t="n"/>
      <c r="X72" s="444" t="n"/>
      <c r="Y72" s="444" t="n"/>
      <c r="Z72" s="341" t="n"/>
      <c r="AA72" s="490" t="n">
        <v>2966</v>
      </c>
      <c r="AB72" s="490" t="n"/>
      <c r="AC72" s="489">
        <f>AF72+AG73</f>
        <v/>
      </c>
      <c r="AD72" s="444" t="n"/>
      <c r="AE72" s="341" t="n"/>
      <c r="AF72" s="490">
        <f>N72*AA72</f>
        <v/>
      </c>
      <c r="AG72" s="491" t="n"/>
      <c r="AH72" s="470" t="n"/>
      <c r="AI72" s="471" t="n"/>
      <c r="AJ72" s="472" t="n"/>
      <c r="AK72" s="470" t="n"/>
      <c r="AL72" s="471" t="n"/>
      <c r="AM72" s="471" t="n"/>
      <c r="AN72" s="471" t="n"/>
      <c r="AO72" s="471" t="n"/>
      <c r="AP72" s="471" t="n"/>
      <c r="AQ72" s="471" t="n"/>
      <c r="AR72" s="471" t="n"/>
    </row>
    <row r="73" ht="20.25" customFormat="1" customHeight="1" s="383">
      <c r="A73" s="492" t="n"/>
      <c r="B73" s="493" t="n"/>
      <c r="C73" s="494" t="inlineStr">
        <is>
          <t>Витражный блок Вн-22 (2150х2720 мм)</t>
        </is>
      </c>
      <c r="D73" s="444" t="n"/>
      <c r="E73" s="444" t="n"/>
      <c r="F73" s="444" t="n"/>
      <c r="G73" s="444" t="n"/>
      <c r="H73" s="444" t="n"/>
      <c r="I73" s="444" t="n"/>
      <c r="J73" s="341" t="n"/>
      <c r="K73" s="495" t="n"/>
      <c r="L73" s="496" t="inlineStr">
        <is>
          <t>м2</t>
        </is>
      </c>
      <c r="M73" s="497" t="n"/>
      <c r="N73" s="449" t="n"/>
      <c r="O73" s="450" t="n"/>
      <c r="P73" s="450" t="n"/>
      <c r="Q73" s="450" t="n"/>
      <c r="R73" s="450" t="n"/>
      <c r="S73" s="450" t="n"/>
      <c r="T73" s="450" t="n"/>
      <c r="U73" s="451" t="n"/>
      <c r="V73" s="498" t="n"/>
      <c r="W73" s="444" t="n"/>
      <c r="X73" s="444" t="n"/>
      <c r="Y73" s="444" t="n"/>
      <c r="Z73" s="341" t="n"/>
      <c r="AA73" s="499" t="n"/>
      <c r="AB73" s="499" t="n">
        <v>19734.44</v>
      </c>
      <c r="AC73" s="498" t="n"/>
      <c r="AD73" s="444" t="n"/>
      <c r="AE73" s="341" t="n"/>
      <c r="AF73" s="499" t="n"/>
      <c r="AG73" s="500">
        <f>AB73*N72</f>
        <v/>
      </c>
      <c r="AH73" s="470" t="n"/>
      <c r="AI73" s="471" t="n"/>
      <c r="AJ73" s="472" t="n"/>
      <c r="AK73" s="470" t="n"/>
      <c r="AL73" s="471" t="n"/>
      <c r="AM73" s="471" t="n"/>
      <c r="AN73" s="471" t="n"/>
      <c r="AO73" s="471" t="n"/>
      <c r="AP73" s="471" t="n"/>
      <c r="AQ73" s="471" t="n"/>
      <c r="AR73" s="471" t="n"/>
    </row>
    <row r="74" ht="80" customFormat="1" customHeight="1" s="383">
      <c r="A74" s="483" t="n">
        <v>6</v>
      </c>
      <c r="B74" s="484" t="inlineStr">
        <is>
          <t>Изготовление и монтаж витража Вн-23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74" s="444" t="n"/>
      <c r="D74" s="444" t="n"/>
      <c r="E74" s="444" t="n"/>
      <c r="F74" s="444" t="n"/>
      <c r="G74" s="444" t="n"/>
      <c r="H74" s="444" t="n"/>
      <c r="I74" s="444" t="n"/>
      <c r="J74" s="341" t="n"/>
      <c r="K74" s="485" t="n"/>
      <c r="L74" s="486" t="n"/>
      <c r="M74" s="487" t="n"/>
      <c r="N74" s="488">
        <f>ROUND(10.69*0.7,2)</f>
        <v/>
      </c>
      <c r="O74" s="447" t="n"/>
      <c r="P74" s="447" t="n"/>
      <c r="Q74" s="447" t="n"/>
      <c r="R74" s="447" t="n"/>
      <c r="S74" s="447" t="n"/>
      <c r="T74" s="447" t="n"/>
      <c r="U74" s="448" t="n"/>
      <c r="V74" s="489">
        <f>AA74+AB75</f>
        <v/>
      </c>
      <c r="W74" s="444" t="n"/>
      <c r="X74" s="444" t="n"/>
      <c r="Y74" s="444" t="n"/>
      <c r="Z74" s="341" t="n"/>
      <c r="AA74" s="490" t="n">
        <v>2966</v>
      </c>
      <c r="AB74" s="490" t="n"/>
      <c r="AC74" s="489">
        <f>AF74+AG75</f>
        <v/>
      </c>
      <c r="AD74" s="444" t="n"/>
      <c r="AE74" s="341" t="n"/>
      <c r="AF74" s="490">
        <f>N74*AA74</f>
        <v/>
      </c>
      <c r="AG74" s="491" t="n"/>
      <c r="AH74" s="470" t="n"/>
      <c r="AI74" s="471" t="n"/>
      <c r="AJ74" s="472" t="n"/>
      <c r="AK74" s="470" t="n"/>
      <c r="AL74" s="471" t="n"/>
      <c r="AM74" s="471" t="n"/>
      <c r="AN74" s="471" t="n"/>
      <c r="AO74" s="471" t="n"/>
      <c r="AP74" s="471" t="n"/>
      <c r="AQ74" s="471" t="n"/>
      <c r="AR74" s="471" t="n"/>
    </row>
    <row r="75" ht="20.25" customFormat="1" customHeight="1" s="383">
      <c r="A75" s="492" t="n"/>
      <c r="B75" s="493" t="n"/>
      <c r="C75" s="494" t="inlineStr">
        <is>
          <t>Витражный блок Вн-23 (3540х3020 мм)</t>
        </is>
      </c>
      <c r="D75" s="444" t="n"/>
      <c r="E75" s="444" t="n"/>
      <c r="F75" s="444" t="n"/>
      <c r="G75" s="444" t="n"/>
      <c r="H75" s="444" t="n"/>
      <c r="I75" s="444" t="n"/>
      <c r="J75" s="341" t="n"/>
      <c r="K75" s="495" t="n"/>
      <c r="L75" s="496" t="inlineStr">
        <is>
          <t>м2</t>
        </is>
      </c>
      <c r="M75" s="497" t="n"/>
      <c r="N75" s="449" t="n"/>
      <c r="O75" s="450" t="n"/>
      <c r="P75" s="450" t="n"/>
      <c r="Q75" s="450" t="n"/>
      <c r="R75" s="450" t="n"/>
      <c r="S75" s="450" t="n"/>
      <c r="T75" s="450" t="n"/>
      <c r="U75" s="451" t="n"/>
      <c r="V75" s="498" t="n"/>
      <c r="W75" s="444" t="n"/>
      <c r="X75" s="444" t="n"/>
      <c r="Y75" s="444" t="n"/>
      <c r="Z75" s="341" t="n"/>
      <c r="AA75" s="499" t="n"/>
      <c r="AB75" s="499" t="n">
        <v>19734.44</v>
      </c>
      <c r="AC75" s="498" t="n"/>
      <c r="AD75" s="444" t="n"/>
      <c r="AE75" s="341" t="n"/>
      <c r="AF75" s="499" t="n"/>
      <c r="AG75" s="500">
        <f>AB75*N74</f>
        <v/>
      </c>
      <c r="AH75" s="470" t="n"/>
      <c r="AI75" s="471" t="n"/>
      <c r="AJ75" s="472" t="n"/>
      <c r="AK75" s="470" t="n"/>
      <c r="AL75" s="471" t="n"/>
      <c r="AM75" s="471" t="n"/>
      <c r="AN75" s="471" t="n"/>
      <c r="AO75" s="471" t="n"/>
      <c r="AP75" s="471" t="n"/>
      <c r="AQ75" s="471" t="n"/>
      <c r="AR75" s="471" t="n"/>
    </row>
    <row r="76" ht="80" customFormat="1" customHeight="1" s="383">
      <c r="A76" s="483" t="n">
        <v>7</v>
      </c>
      <c r="B76" s="484" t="inlineStr">
        <is>
          <t>Изготовление и монтаж витража Вн-24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76" s="444" t="n"/>
      <c r="D76" s="444" t="n"/>
      <c r="E76" s="444" t="n"/>
      <c r="F76" s="444" t="n"/>
      <c r="G76" s="444" t="n"/>
      <c r="H76" s="444" t="n"/>
      <c r="I76" s="444" t="n"/>
      <c r="J76" s="341" t="n"/>
      <c r="K76" s="485" t="n"/>
      <c r="L76" s="486" t="n"/>
      <c r="M76" s="487" t="n"/>
      <c r="N76" s="488">
        <f>ROUND(7.88*0.7,2)</f>
        <v/>
      </c>
      <c r="O76" s="447" t="n"/>
      <c r="P76" s="447" t="n"/>
      <c r="Q76" s="447" t="n"/>
      <c r="R76" s="447" t="n"/>
      <c r="S76" s="447" t="n"/>
      <c r="T76" s="447" t="n"/>
      <c r="U76" s="448" t="n"/>
      <c r="V76" s="489">
        <f>AA76+AB77</f>
        <v/>
      </c>
      <c r="W76" s="444" t="n"/>
      <c r="X76" s="444" t="n"/>
      <c r="Y76" s="444" t="n"/>
      <c r="Z76" s="341" t="n"/>
      <c r="AA76" s="490" t="n">
        <v>2966</v>
      </c>
      <c r="AB76" s="490" t="n"/>
      <c r="AC76" s="489">
        <f>AF76+AG77</f>
        <v/>
      </c>
      <c r="AD76" s="444" t="n"/>
      <c r="AE76" s="341" t="n"/>
      <c r="AF76" s="490">
        <f>N76*AA76</f>
        <v/>
      </c>
      <c r="AG76" s="491" t="n"/>
      <c r="AH76" s="470" t="n"/>
      <c r="AI76" s="471" t="n"/>
      <c r="AJ76" s="472" t="n"/>
      <c r="AK76" s="470" t="n"/>
      <c r="AL76" s="471" t="n"/>
      <c r="AM76" s="471" t="n"/>
      <c r="AN76" s="471" t="n"/>
      <c r="AO76" s="471" t="n"/>
      <c r="AP76" s="471" t="n"/>
      <c r="AQ76" s="471" t="n"/>
      <c r="AR76" s="471" t="n"/>
    </row>
    <row r="77" ht="20.25" customFormat="1" customHeight="1" s="383">
      <c r="A77" s="492" t="n"/>
      <c r="B77" s="493" t="n"/>
      <c r="C77" s="494" t="inlineStr">
        <is>
          <t>Витражный блок Вн-24 (2610х3020 мм)</t>
        </is>
      </c>
      <c r="D77" s="444" t="n"/>
      <c r="E77" s="444" t="n"/>
      <c r="F77" s="444" t="n"/>
      <c r="G77" s="444" t="n"/>
      <c r="H77" s="444" t="n"/>
      <c r="I77" s="444" t="n"/>
      <c r="J77" s="341" t="n"/>
      <c r="K77" s="495" t="n"/>
      <c r="L77" s="496" t="inlineStr">
        <is>
          <t>м2</t>
        </is>
      </c>
      <c r="M77" s="497" t="n"/>
      <c r="N77" s="449" t="n"/>
      <c r="O77" s="450" t="n"/>
      <c r="P77" s="450" t="n"/>
      <c r="Q77" s="450" t="n"/>
      <c r="R77" s="450" t="n"/>
      <c r="S77" s="450" t="n"/>
      <c r="T77" s="450" t="n"/>
      <c r="U77" s="451" t="n"/>
      <c r="V77" s="498" t="n"/>
      <c r="W77" s="444" t="n"/>
      <c r="X77" s="444" t="n"/>
      <c r="Y77" s="444" t="n"/>
      <c r="Z77" s="341" t="n"/>
      <c r="AA77" s="499" t="n"/>
      <c r="AB77" s="499" t="n">
        <v>19734.44</v>
      </c>
      <c r="AC77" s="498" t="n"/>
      <c r="AD77" s="444" t="n"/>
      <c r="AE77" s="341" t="n"/>
      <c r="AF77" s="499" t="n"/>
      <c r="AG77" s="500">
        <f>AB77*N76</f>
        <v/>
      </c>
      <c r="AH77" s="470" t="n"/>
      <c r="AI77" s="471" t="n"/>
      <c r="AJ77" s="472" t="n"/>
      <c r="AK77" s="470" t="n"/>
      <c r="AL77" s="471" t="n"/>
      <c r="AM77" s="471" t="n"/>
      <c r="AN77" s="471" t="n"/>
      <c r="AO77" s="471" t="n"/>
      <c r="AP77" s="471" t="n"/>
      <c r="AQ77" s="471" t="n"/>
      <c r="AR77" s="471" t="n"/>
    </row>
    <row r="78" ht="15.75" customFormat="1" customHeight="1" s="383">
      <c r="A78" s="473" t="n"/>
      <c r="B78" s="474" t="inlineStr">
        <is>
          <t>Двери наружные входные</t>
        </is>
      </c>
      <c r="C78" s="475" t="n"/>
      <c r="D78" s="475" t="n"/>
      <c r="E78" s="475" t="n"/>
      <c r="F78" s="475" t="n"/>
      <c r="G78" s="475" t="n"/>
      <c r="H78" s="475" t="n"/>
      <c r="I78" s="475" t="n"/>
      <c r="J78" s="475" t="n"/>
      <c r="K78" s="476" t="n"/>
      <c r="L78" s="477" t="n"/>
      <c r="M78" s="477" t="n"/>
      <c r="N78" s="478" t="n"/>
      <c r="O78" s="478" t="n"/>
      <c r="P78" s="478" t="n"/>
      <c r="Q78" s="479" t="n"/>
      <c r="R78" s="479" t="n"/>
      <c r="S78" s="479" t="n"/>
      <c r="T78" s="479" t="n"/>
      <c r="U78" s="479" t="n"/>
      <c r="V78" s="480" t="n"/>
      <c r="W78" s="480" t="n"/>
      <c r="X78" s="480" t="n"/>
      <c r="Y78" s="480" t="n"/>
      <c r="Z78" s="480" t="n"/>
      <c r="AA78" s="480" t="n"/>
      <c r="AB78" s="480" t="n"/>
      <c r="AC78" s="481" t="n"/>
      <c r="AD78" s="481" t="n"/>
      <c r="AE78" s="481" t="n"/>
      <c r="AF78" s="481" t="n"/>
      <c r="AG78" s="482" t="n"/>
      <c r="AH78" s="470" t="n"/>
      <c r="AI78" s="471" t="n"/>
      <c r="AJ78" s="472" t="n"/>
      <c r="AK78" s="470" t="n"/>
      <c r="AL78" s="471" t="n"/>
      <c r="AM78" s="471" t="n"/>
      <c r="AN78" s="471" t="n"/>
      <c r="AO78" s="471" t="n"/>
      <c r="AP78" s="471" t="n"/>
      <c r="AQ78" s="471" t="n"/>
      <c r="AR78" s="471" t="n"/>
    </row>
    <row r="79" ht="63" customFormat="1" customHeight="1" s="383">
      <c r="A79" s="483" t="n">
        <v>8</v>
      </c>
      <c r="B79" s="484" t="inlineStr">
        <is>
          <t>Изготовление и монтаж дверных блоков входных двупольных Д17*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</t>
        </is>
      </c>
      <c r="C79" s="444" t="n"/>
      <c r="D79" s="444" t="n"/>
      <c r="E79" s="444" t="n"/>
      <c r="F79" s="444" t="n"/>
      <c r="G79" s="444" t="n"/>
      <c r="H79" s="444" t="n"/>
      <c r="I79" s="444" t="n"/>
      <c r="J79" s="341" t="n"/>
      <c r="K79" s="485" t="n"/>
      <c r="L79" s="486" t="n"/>
      <c r="M79" s="487" t="n"/>
      <c r="N79" s="488">
        <f>ROUND(18.8*0.7,2)</f>
        <v/>
      </c>
      <c r="O79" s="447" t="n"/>
      <c r="P79" s="447" t="n"/>
      <c r="Q79" s="447" t="n"/>
      <c r="R79" s="447" t="n"/>
      <c r="S79" s="447" t="n"/>
      <c r="T79" s="447" t="n"/>
      <c r="U79" s="448" t="n"/>
      <c r="V79" s="489">
        <f>AA79+AB80</f>
        <v/>
      </c>
      <c r="W79" s="444" t="n"/>
      <c r="X79" s="444" t="n"/>
      <c r="Y79" s="444" t="n"/>
      <c r="Z79" s="341" t="n"/>
      <c r="AA79" s="490" t="n">
        <v>2966</v>
      </c>
      <c r="AB79" s="490" t="n"/>
      <c r="AC79" s="489">
        <f>AF79+AG80</f>
        <v/>
      </c>
      <c r="AD79" s="444" t="n"/>
      <c r="AE79" s="341" t="n"/>
      <c r="AF79" s="490">
        <f>N79*AA79</f>
        <v/>
      </c>
      <c r="AG79" s="491" t="n"/>
      <c r="AH79" s="470" t="n"/>
      <c r="AI79" s="471" t="n"/>
      <c r="AJ79" s="472" t="n"/>
      <c r="AK79" s="470" t="n"/>
      <c r="AL79" s="471" t="n"/>
      <c r="AM79" s="471" t="n"/>
      <c r="AN79" s="471" t="n"/>
      <c r="AO79" s="471" t="n"/>
      <c r="AP79" s="471" t="n"/>
      <c r="AQ79" s="471" t="n"/>
      <c r="AR79" s="471" t="n"/>
    </row>
    <row r="80" ht="20.25" customFormat="1" customHeight="1" s="383">
      <c r="A80" s="492" t="n"/>
      <c r="B80" s="493" t="n"/>
      <c r="C80" s="494" t="inlineStr">
        <is>
          <t>Дверной блок наружный  ДНМО 2410х1300 П</t>
        </is>
      </c>
      <c r="D80" s="444" t="n"/>
      <c r="E80" s="444" t="n"/>
      <c r="F80" s="444" t="n"/>
      <c r="G80" s="444" t="n"/>
      <c r="H80" s="444" t="n"/>
      <c r="I80" s="444" t="n"/>
      <c r="J80" s="341" t="n"/>
      <c r="K80" s="495" t="n"/>
      <c r="L80" s="496" t="inlineStr">
        <is>
          <t>м2</t>
        </is>
      </c>
      <c r="M80" s="497" t="n"/>
      <c r="N80" s="449" t="n"/>
      <c r="O80" s="450" t="n"/>
      <c r="P80" s="450" t="n"/>
      <c r="Q80" s="450" t="n"/>
      <c r="R80" s="450" t="n"/>
      <c r="S80" s="450" t="n"/>
      <c r="T80" s="450" t="n"/>
      <c r="U80" s="451" t="n"/>
      <c r="V80" s="498" t="n"/>
      <c r="W80" s="444" t="n"/>
      <c r="X80" s="444" t="n"/>
      <c r="Y80" s="444" t="n"/>
      <c r="Z80" s="341" t="n"/>
      <c r="AA80" s="499" t="n"/>
      <c r="AB80" s="499" t="n">
        <v>19734.44</v>
      </c>
      <c r="AC80" s="498" t="n"/>
      <c r="AD80" s="444" t="n"/>
      <c r="AE80" s="341" t="n"/>
      <c r="AF80" s="499" t="n"/>
      <c r="AG80" s="500">
        <f>AB80*N79</f>
        <v/>
      </c>
      <c r="AH80" s="470" t="n"/>
      <c r="AI80" s="471" t="n"/>
      <c r="AJ80" s="472" t="n"/>
      <c r="AK80" s="470" t="n"/>
      <c r="AL80" s="471" t="n"/>
      <c r="AM80" s="471" t="n"/>
      <c r="AN80" s="471" t="n"/>
      <c r="AO80" s="471" t="n"/>
      <c r="AP80" s="471" t="n"/>
      <c r="AQ80" s="471" t="n"/>
      <c r="AR80" s="471" t="n"/>
    </row>
    <row r="81" ht="63" customFormat="1" customHeight="1" s="383">
      <c r="A81" s="483" t="n">
        <v>9</v>
      </c>
      <c r="B81" s="484" t="inlineStr">
        <is>
          <t xml:space="preserve">Изготовление и монтаж дверных блоков входных однопольных Д18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81" s="444" t="n"/>
      <c r="D81" s="444" t="n"/>
      <c r="E81" s="444" t="n"/>
      <c r="F81" s="444" t="n"/>
      <c r="G81" s="444" t="n"/>
      <c r="H81" s="444" t="n"/>
      <c r="I81" s="444" t="n"/>
      <c r="J81" s="341" t="n"/>
      <c r="K81" s="485" t="n"/>
      <c r="L81" s="486" t="n"/>
      <c r="M81" s="487" t="n"/>
      <c r="N81" s="488">
        <f>ROUND(2.1*0.7,2)</f>
        <v/>
      </c>
      <c r="O81" s="447" t="n"/>
      <c r="P81" s="447" t="n"/>
      <c r="Q81" s="447" t="n"/>
      <c r="R81" s="447" t="n"/>
      <c r="S81" s="447" t="n"/>
      <c r="T81" s="447" t="n"/>
      <c r="U81" s="448" t="n"/>
      <c r="V81" s="489">
        <f>AA81+AB82</f>
        <v/>
      </c>
      <c r="W81" s="444" t="n"/>
      <c r="X81" s="444" t="n"/>
      <c r="Y81" s="444" t="n"/>
      <c r="Z81" s="341" t="n"/>
      <c r="AA81" s="490" t="n">
        <v>2966</v>
      </c>
      <c r="AB81" s="490" t="n"/>
      <c r="AC81" s="489">
        <f>AF81+AG82</f>
        <v/>
      </c>
      <c r="AD81" s="444" t="n"/>
      <c r="AE81" s="341" t="n"/>
      <c r="AF81" s="490">
        <f>N81*AA81</f>
        <v/>
      </c>
      <c r="AG81" s="491" t="n"/>
      <c r="AH81" s="470" t="n"/>
      <c r="AI81" s="471" t="n"/>
      <c r="AJ81" s="472" t="n"/>
      <c r="AK81" s="470" t="n"/>
      <c r="AL81" s="471" t="n"/>
      <c r="AM81" s="471" t="n"/>
      <c r="AN81" s="471" t="n"/>
      <c r="AO81" s="471" t="n"/>
      <c r="AP81" s="471" t="n"/>
      <c r="AQ81" s="471" t="n"/>
      <c r="AR81" s="471" t="n"/>
    </row>
    <row r="82" ht="20.25" customFormat="1" customHeight="1" s="383">
      <c r="A82" s="492" t="n"/>
      <c r="B82" s="493" t="n"/>
      <c r="C82" s="494" t="inlineStr">
        <is>
          <t>Дверной блок наружный ДМН 2100х1000 П</t>
        </is>
      </c>
      <c r="D82" s="444" t="n"/>
      <c r="E82" s="444" t="n"/>
      <c r="F82" s="444" t="n"/>
      <c r="G82" s="444" t="n"/>
      <c r="H82" s="444" t="n"/>
      <c r="I82" s="444" t="n"/>
      <c r="J82" s="341" t="n"/>
      <c r="K82" s="495" t="n"/>
      <c r="L82" s="496" t="inlineStr">
        <is>
          <t>м2</t>
        </is>
      </c>
      <c r="M82" s="497" t="n"/>
      <c r="N82" s="449" t="n"/>
      <c r="O82" s="450" t="n"/>
      <c r="P82" s="450" t="n"/>
      <c r="Q82" s="450" t="n"/>
      <c r="R82" s="450" t="n"/>
      <c r="S82" s="450" t="n"/>
      <c r="T82" s="450" t="n"/>
      <c r="U82" s="451" t="n"/>
      <c r="V82" s="498" t="n"/>
      <c r="W82" s="444" t="n"/>
      <c r="X82" s="444" t="n"/>
      <c r="Y82" s="444" t="n"/>
      <c r="Z82" s="341" t="n"/>
      <c r="AA82" s="499" t="n"/>
      <c r="AB82" s="499" t="n">
        <v>19734.44</v>
      </c>
      <c r="AC82" s="498" t="n"/>
      <c r="AD82" s="444" t="n"/>
      <c r="AE82" s="341" t="n"/>
      <c r="AF82" s="499" t="n"/>
      <c r="AG82" s="500">
        <f>AB82*N81</f>
        <v/>
      </c>
      <c r="AH82" s="470" t="n"/>
      <c r="AI82" s="471" t="n"/>
      <c r="AJ82" s="472" t="n"/>
      <c r="AK82" s="470" t="n"/>
      <c r="AL82" s="471" t="n"/>
      <c r="AM82" s="471" t="n"/>
      <c r="AN82" s="471" t="n"/>
      <c r="AO82" s="471" t="n"/>
      <c r="AP82" s="471" t="n"/>
      <c r="AQ82" s="471" t="n"/>
      <c r="AR82" s="471" t="n"/>
    </row>
    <row r="83" ht="63" customFormat="1" customHeight="1" s="383">
      <c r="A83" s="483" t="n">
        <v>10</v>
      </c>
      <c r="B83" s="484" t="inlineStr">
        <is>
          <t xml:space="preserve">Изготовление и монтаж дверных блоков входных однопольных Д21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83" s="444" t="n"/>
      <c r="D83" s="444" t="n"/>
      <c r="E83" s="444" t="n"/>
      <c r="F83" s="444" t="n"/>
      <c r="G83" s="444" t="n"/>
      <c r="H83" s="444" t="n"/>
      <c r="I83" s="444" t="n"/>
      <c r="J83" s="341" t="n"/>
      <c r="K83" s="485" t="n"/>
      <c r="L83" s="486" t="n"/>
      <c r="M83" s="487" t="n"/>
      <c r="N83" s="488">
        <f>ROUND(2.52*0.7,2)</f>
        <v/>
      </c>
      <c r="O83" s="447" t="n"/>
      <c r="P83" s="447" t="n"/>
      <c r="Q83" s="447" t="n"/>
      <c r="R83" s="447" t="n"/>
      <c r="S83" s="447" t="n"/>
      <c r="T83" s="447" t="n"/>
      <c r="U83" s="448" t="n"/>
      <c r="V83" s="489">
        <f>AA83+AB84</f>
        <v/>
      </c>
      <c r="W83" s="444" t="n"/>
      <c r="X83" s="444" t="n"/>
      <c r="Y83" s="444" t="n"/>
      <c r="Z83" s="341" t="n"/>
      <c r="AA83" s="490" t="n">
        <v>2966</v>
      </c>
      <c r="AB83" s="490" t="n"/>
      <c r="AC83" s="489">
        <f>AF83+AG84</f>
        <v/>
      </c>
      <c r="AD83" s="444" t="n"/>
      <c r="AE83" s="341" t="n"/>
      <c r="AF83" s="490">
        <f>N83*AA83</f>
        <v/>
      </c>
      <c r="AG83" s="491" t="n"/>
      <c r="AH83" s="470" t="n"/>
      <c r="AI83" s="471" t="n"/>
      <c r="AJ83" s="472" t="n"/>
      <c r="AK83" s="470" t="n"/>
      <c r="AL83" s="471" t="n"/>
      <c r="AM83" s="471" t="n"/>
      <c r="AN83" s="471" t="n"/>
      <c r="AO83" s="471" t="n"/>
      <c r="AP83" s="471" t="n"/>
      <c r="AQ83" s="471" t="n"/>
      <c r="AR83" s="471" t="n"/>
    </row>
    <row r="84" ht="20.25" customFormat="1" customHeight="1" s="383">
      <c r="A84" s="492" t="n"/>
      <c r="B84" s="493" t="n"/>
      <c r="C84" s="494" t="inlineStr">
        <is>
          <t>Дверной блок наружный ДНМО 2100х1200 П</t>
        </is>
      </c>
      <c r="D84" s="444" t="n"/>
      <c r="E84" s="444" t="n"/>
      <c r="F84" s="444" t="n"/>
      <c r="G84" s="444" t="n"/>
      <c r="H84" s="444" t="n"/>
      <c r="I84" s="444" t="n"/>
      <c r="J84" s="341" t="n"/>
      <c r="K84" s="495" t="n"/>
      <c r="L84" s="496" t="inlineStr">
        <is>
          <t>м2</t>
        </is>
      </c>
      <c r="M84" s="497" t="n"/>
      <c r="N84" s="449" t="n"/>
      <c r="O84" s="450" t="n"/>
      <c r="P84" s="450" t="n"/>
      <c r="Q84" s="450" t="n"/>
      <c r="R84" s="450" t="n"/>
      <c r="S84" s="450" t="n"/>
      <c r="T84" s="450" t="n"/>
      <c r="U84" s="451" t="n"/>
      <c r="V84" s="498" t="n"/>
      <c r="W84" s="444" t="n"/>
      <c r="X84" s="444" t="n"/>
      <c r="Y84" s="444" t="n"/>
      <c r="Z84" s="341" t="n"/>
      <c r="AA84" s="499" t="n"/>
      <c r="AB84" s="499" t="n">
        <v>19734.44</v>
      </c>
      <c r="AC84" s="498" t="n"/>
      <c r="AD84" s="444" t="n"/>
      <c r="AE84" s="341" t="n"/>
      <c r="AF84" s="499" t="n"/>
      <c r="AG84" s="500">
        <f>AB84*N83</f>
        <v/>
      </c>
      <c r="AH84" s="470" t="n"/>
      <c r="AI84" s="471" t="n"/>
      <c r="AJ84" s="472" t="n"/>
      <c r="AK84" s="470" t="n"/>
      <c r="AL84" s="471" t="n"/>
      <c r="AM84" s="471" t="n"/>
      <c r="AN84" s="471" t="n"/>
      <c r="AO84" s="471" t="n"/>
      <c r="AP84" s="471" t="n"/>
      <c r="AQ84" s="471" t="n"/>
      <c r="AR84" s="471" t="n"/>
    </row>
    <row r="85" ht="63" customFormat="1" customHeight="1" s="383">
      <c r="A85" s="483" t="n">
        <v>11</v>
      </c>
      <c r="B85" s="484" t="inlineStr">
        <is>
          <t xml:space="preserve">Изготовление и монтаж дверных блоков входных двупольных Д22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85" s="444" t="n"/>
      <c r="D85" s="444" t="n"/>
      <c r="E85" s="444" t="n"/>
      <c r="F85" s="444" t="n"/>
      <c r="G85" s="444" t="n"/>
      <c r="H85" s="444" t="n"/>
      <c r="I85" s="444" t="n"/>
      <c r="J85" s="341" t="n"/>
      <c r="K85" s="485" t="n"/>
      <c r="L85" s="486" t="n"/>
      <c r="M85" s="487" t="n"/>
      <c r="N85" s="488">
        <f>ROUND(2.73*0.7,2)</f>
        <v/>
      </c>
      <c r="O85" s="447" t="n"/>
      <c r="P85" s="447" t="n"/>
      <c r="Q85" s="447" t="n"/>
      <c r="R85" s="447" t="n"/>
      <c r="S85" s="447" t="n"/>
      <c r="T85" s="447" t="n"/>
      <c r="U85" s="448" t="n"/>
      <c r="V85" s="489">
        <f>AA85+AB86</f>
        <v/>
      </c>
      <c r="W85" s="444" t="n"/>
      <c r="X85" s="444" t="n"/>
      <c r="Y85" s="444" t="n"/>
      <c r="Z85" s="341" t="n"/>
      <c r="AA85" s="490" t="n">
        <v>2966</v>
      </c>
      <c r="AB85" s="490" t="n"/>
      <c r="AC85" s="489">
        <f>AF85+AG86</f>
        <v/>
      </c>
      <c r="AD85" s="444" t="n"/>
      <c r="AE85" s="341" t="n"/>
      <c r="AF85" s="490">
        <f>N85*AA85</f>
        <v/>
      </c>
      <c r="AG85" s="491" t="n"/>
      <c r="AH85" s="470" t="n"/>
      <c r="AI85" s="471" t="n"/>
      <c r="AJ85" s="472" t="n"/>
      <c r="AK85" s="470" t="n"/>
      <c r="AL85" s="471" t="n"/>
      <c r="AM85" s="471" t="n"/>
      <c r="AN85" s="471" t="n"/>
      <c r="AO85" s="471" t="n"/>
      <c r="AP85" s="471" t="n"/>
      <c r="AQ85" s="471" t="n"/>
      <c r="AR85" s="471" t="n"/>
    </row>
    <row r="86" ht="20.25" customFormat="1" customHeight="1" s="383">
      <c r="A86" s="492" t="n"/>
      <c r="B86" s="493" t="n"/>
      <c r="C86" s="494" t="inlineStr">
        <is>
          <t>Дверной блок наружный  ДМНО 2100х1300 П</t>
        </is>
      </c>
      <c r="D86" s="444" t="n"/>
      <c r="E86" s="444" t="n"/>
      <c r="F86" s="444" t="n"/>
      <c r="G86" s="444" t="n"/>
      <c r="H86" s="444" t="n"/>
      <c r="I86" s="444" t="n"/>
      <c r="J86" s="341" t="n"/>
      <c r="K86" s="495" t="n"/>
      <c r="L86" s="496" t="inlineStr">
        <is>
          <t>м2</t>
        </is>
      </c>
      <c r="M86" s="497" t="n"/>
      <c r="N86" s="449" t="n"/>
      <c r="O86" s="450" t="n"/>
      <c r="P86" s="450" t="n"/>
      <c r="Q86" s="450" t="n"/>
      <c r="R86" s="450" t="n"/>
      <c r="S86" s="450" t="n"/>
      <c r="T86" s="450" t="n"/>
      <c r="U86" s="451" t="n"/>
      <c r="V86" s="498" t="n"/>
      <c r="W86" s="444" t="n"/>
      <c r="X86" s="444" t="n"/>
      <c r="Y86" s="444" t="n"/>
      <c r="Z86" s="341" t="n"/>
      <c r="AA86" s="499" t="n"/>
      <c r="AB86" s="499" t="n">
        <v>19734.44</v>
      </c>
      <c r="AC86" s="498" t="n"/>
      <c r="AD86" s="444" t="n"/>
      <c r="AE86" s="341" t="n"/>
      <c r="AF86" s="499" t="n"/>
      <c r="AG86" s="500">
        <f>AB86*N85</f>
        <v/>
      </c>
      <c r="AH86" s="470" t="n"/>
      <c r="AI86" s="471" t="n"/>
      <c r="AJ86" s="472" t="n"/>
      <c r="AK86" s="470" t="n"/>
      <c r="AL86" s="471" t="n"/>
      <c r="AM86" s="471" t="n"/>
      <c r="AN86" s="471" t="n"/>
      <c r="AO86" s="471" t="n"/>
      <c r="AP86" s="471" t="n"/>
      <c r="AQ86" s="471" t="n"/>
      <c r="AR86" s="471" t="n"/>
    </row>
    <row r="87" ht="15.75" customFormat="1" customHeight="1" s="383">
      <c r="A87" s="462" t="n"/>
      <c r="B87" s="444" t="n"/>
      <c r="C87" s="501" t="n"/>
      <c r="D87" s="444" t="n"/>
      <c r="E87" s="444" t="n"/>
      <c r="F87" s="444" t="n"/>
      <c r="G87" s="444" t="n"/>
      <c r="H87" s="444" t="n"/>
      <c r="I87" s="444" t="n"/>
      <c r="J87" s="444" t="n"/>
      <c r="K87" s="464" t="n"/>
      <c r="L87" s="502" t="inlineStr">
        <is>
          <t>м2</t>
        </is>
      </c>
      <c r="M87" s="465" t="n"/>
      <c r="N87" s="503" t="n"/>
      <c r="O87" s="444" t="n"/>
      <c r="P87" s="444" t="n"/>
      <c r="Q87" s="467" t="n"/>
      <c r="R87" s="504">
        <f>SUM(N63:U86)</f>
        <v/>
      </c>
      <c r="S87" s="444" t="n"/>
      <c r="T87" s="444" t="n"/>
      <c r="U87" s="444" t="n"/>
      <c r="V87" s="468" t="n"/>
      <c r="W87" s="444" t="n"/>
      <c r="X87" s="444" t="n"/>
      <c r="Y87" s="444" t="n"/>
      <c r="Z87" s="444" t="n"/>
      <c r="AA87" s="468" t="n"/>
      <c r="AB87" s="468" t="n"/>
      <c r="AC87" s="505">
        <f>SUM(AC63:AE86)</f>
        <v/>
      </c>
      <c r="AD87" s="444" t="n"/>
      <c r="AE87" s="444" t="n"/>
      <c r="AF87" s="506" t="n"/>
      <c r="AG87" s="469" t="n"/>
      <c r="AH87" s="470" t="n"/>
      <c r="AI87" s="471" t="n"/>
      <c r="AJ87" s="472" t="n"/>
      <c r="AK87" s="470" t="n"/>
      <c r="AL87" s="471" t="n"/>
      <c r="AM87" s="471" t="n"/>
      <c r="AN87" s="471" t="n"/>
      <c r="AO87" s="471" t="n"/>
      <c r="AP87" s="471" t="n"/>
      <c r="AQ87" s="471" t="n"/>
      <c r="AR87" s="471" t="n"/>
    </row>
    <row r="88" ht="15.75" customFormat="1" customHeight="1" s="383">
      <c r="A88" s="462" t="n"/>
      <c r="B88" s="444" t="n"/>
      <c r="C88" s="463" t="inlineStr">
        <is>
          <t>Блок-секция В</t>
        </is>
      </c>
      <c r="D88" s="444" t="n"/>
      <c r="E88" s="444" t="n"/>
      <c r="F88" s="444" t="n"/>
      <c r="G88" s="444" t="n"/>
      <c r="H88" s="444" t="n"/>
      <c r="I88" s="444" t="n"/>
      <c r="J88" s="444" t="n"/>
      <c r="K88" s="464" t="n"/>
      <c r="L88" s="465" t="n"/>
      <c r="M88" s="465" t="n"/>
      <c r="N88" s="466" t="n"/>
      <c r="O88" s="444" t="n"/>
      <c r="P88" s="444" t="n"/>
      <c r="Q88" s="467" t="n"/>
      <c r="R88" s="467" t="n"/>
      <c r="S88" s="444" t="n"/>
      <c r="T88" s="444" t="n"/>
      <c r="U88" s="444" t="n"/>
      <c r="V88" s="468" t="n"/>
      <c r="W88" s="444" t="n"/>
      <c r="X88" s="444" t="n"/>
      <c r="Y88" s="444" t="n"/>
      <c r="Z88" s="444" t="n"/>
      <c r="AA88" s="468" t="n"/>
      <c r="AB88" s="468" t="n"/>
      <c r="AC88" s="469" t="n"/>
      <c r="AD88" s="444" t="n"/>
      <c r="AE88" s="444" t="n"/>
      <c r="AF88" s="444" t="n"/>
      <c r="AG88" s="341" t="n"/>
      <c r="AH88" s="470" t="n"/>
      <c r="AI88" s="471" t="n"/>
      <c r="AJ88" s="472" t="n"/>
      <c r="AK88" s="470" t="n"/>
      <c r="AL88" s="471" t="n"/>
      <c r="AM88" s="471" t="n"/>
      <c r="AN88" s="471" t="n"/>
      <c r="AO88" s="471" t="n"/>
      <c r="AP88" s="471" t="n"/>
      <c r="AQ88" s="471" t="n"/>
      <c r="AR88" s="471" t="n"/>
    </row>
    <row r="89" ht="15.75" customFormat="1" customHeight="1" s="383">
      <c r="A89" s="473" t="n"/>
      <c r="B89" s="474" t="inlineStr">
        <is>
          <t>Витражные блоки</t>
        </is>
      </c>
      <c r="C89" s="475" t="n"/>
      <c r="D89" s="475" t="n"/>
      <c r="E89" s="475" t="n"/>
      <c r="F89" s="475" t="n"/>
      <c r="G89" s="475" t="n"/>
      <c r="H89" s="475" t="n"/>
      <c r="I89" s="475" t="n"/>
      <c r="J89" s="475" t="n"/>
      <c r="K89" s="476" t="n"/>
      <c r="L89" s="477" t="n"/>
      <c r="M89" s="477" t="n"/>
      <c r="N89" s="478" t="n"/>
      <c r="O89" s="478" t="n"/>
      <c r="P89" s="478" t="n"/>
      <c r="Q89" s="479" t="n"/>
      <c r="R89" s="479" t="n"/>
      <c r="S89" s="479" t="n"/>
      <c r="T89" s="479" t="n"/>
      <c r="U89" s="479" t="n"/>
      <c r="V89" s="480" t="n"/>
      <c r="W89" s="480" t="n"/>
      <c r="X89" s="480" t="n"/>
      <c r="Y89" s="480" t="n"/>
      <c r="Z89" s="480" t="n"/>
      <c r="AA89" s="480" t="n"/>
      <c r="AB89" s="480" t="n"/>
      <c r="AC89" s="481" t="n"/>
      <c r="AD89" s="481" t="n"/>
      <c r="AE89" s="481" t="n"/>
      <c r="AF89" s="481" t="n"/>
      <c r="AG89" s="482" t="n"/>
      <c r="AH89" s="470" t="n"/>
      <c r="AI89" s="471" t="n"/>
      <c r="AJ89" s="472" t="n"/>
      <c r="AK89" s="470" t="n"/>
      <c r="AL89" s="471" t="n"/>
      <c r="AM89" s="471" t="n"/>
      <c r="AN89" s="471" t="n"/>
      <c r="AO89" s="471" t="n"/>
      <c r="AP89" s="471" t="n"/>
      <c r="AQ89" s="471" t="n"/>
      <c r="AR89" s="471" t="n"/>
    </row>
    <row r="90" ht="80" customFormat="1" customHeight="1" s="383">
      <c r="A90" s="483" t="n">
        <v>1</v>
      </c>
      <c r="B90" s="484" t="inlineStr">
        <is>
          <t>Изготовление и монтаж витража Вн-6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90" s="444" t="n"/>
      <c r="D90" s="444" t="n"/>
      <c r="E90" s="444" t="n"/>
      <c r="F90" s="444" t="n"/>
      <c r="G90" s="444" t="n"/>
      <c r="H90" s="444" t="n"/>
      <c r="I90" s="444" t="n"/>
      <c r="J90" s="341" t="n"/>
      <c r="K90" s="485" t="n"/>
      <c r="L90" s="486" t="n"/>
      <c r="M90" s="487" t="n"/>
      <c r="N90" s="488">
        <f>ROUND(20.24*0.7,2)</f>
        <v/>
      </c>
      <c r="O90" s="447" t="n"/>
      <c r="P90" s="447" t="n"/>
      <c r="Q90" s="447" t="n"/>
      <c r="R90" s="447" t="n"/>
      <c r="S90" s="447" t="n"/>
      <c r="T90" s="447" t="n"/>
      <c r="U90" s="448" t="n"/>
      <c r="V90" s="489">
        <f>AA90+AB91</f>
        <v/>
      </c>
      <c r="W90" s="444" t="n"/>
      <c r="X90" s="444" t="n"/>
      <c r="Y90" s="444" t="n"/>
      <c r="Z90" s="341" t="n"/>
      <c r="AA90" s="490" t="n">
        <v>2966</v>
      </c>
      <c r="AB90" s="490" t="n"/>
      <c r="AC90" s="489">
        <f>AF90+AG91</f>
        <v/>
      </c>
      <c r="AD90" s="444" t="n"/>
      <c r="AE90" s="341" t="n"/>
      <c r="AF90" s="490">
        <f>N90*AA90</f>
        <v/>
      </c>
      <c r="AG90" s="491" t="n"/>
      <c r="AH90" s="470" t="n"/>
      <c r="AI90" s="471" t="n"/>
      <c r="AJ90" s="472" t="n"/>
      <c r="AK90" s="470" t="n"/>
      <c r="AL90" s="471" t="n"/>
      <c r="AM90" s="471" t="n"/>
      <c r="AN90" s="471" t="n"/>
      <c r="AO90" s="471" t="n"/>
      <c r="AP90" s="471" t="n"/>
      <c r="AQ90" s="471" t="n"/>
      <c r="AR90" s="471" t="n"/>
    </row>
    <row r="91" ht="20.25" customFormat="1" customHeight="1" s="383">
      <c r="A91" s="492" t="n"/>
      <c r="B91" s="493" t="n"/>
      <c r="C91" s="494" t="inlineStr">
        <is>
          <t>Витражный блок Вн-6 (4200х4820 мм)</t>
        </is>
      </c>
      <c r="D91" s="444" t="n"/>
      <c r="E91" s="444" t="n"/>
      <c r="F91" s="444" t="n"/>
      <c r="G91" s="444" t="n"/>
      <c r="H91" s="444" t="n"/>
      <c r="I91" s="444" t="n"/>
      <c r="J91" s="341" t="n"/>
      <c r="K91" s="495" t="n"/>
      <c r="L91" s="496" t="inlineStr">
        <is>
          <t>м2</t>
        </is>
      </c>
      <c r="M91" s="497" t="n"/>
      <c r="N91" s="449" t="n"/>
      <c r="O91" s="450" t="n"/>
      <c r="P91" s="450" t="n"/>
      <c r="Q91" s="450" t="n"/>
      <c r="R91" s="450" t="n"/>
      <c r="S91" s="450" t="n"/>
      <c r="T91" s="450" t="n"/>
      <c r="U91" s="451" t="n"/>
      <c r="V91" s="498" t="n"/>
      <c r="W91" s="444" t="n"/>
      <c r="X91" s="444" t="n"/>
      <c r="Y91" s="444" t="n"/>
      <c r="Z91" s="341" t="n"/>
      <c r="AA91" s="499" t="n"/>
      <c r="AB91" s="499" t="n">
        <v>19734.44</v>
      </c>
      <c r="AC91" s="498" t="n"/>
      <c r="AD91" s="444" t="n"/>
      <c r="AE91" s="341" t="n"/>
      <c r="AF91" s="499" t="n"/>
      <c r="AG91" s="500">
        <f>AB91*N90</f>
        <v/>
      </c>
      <c r="AH91" s="470" t="n"/>
      <c r="AI91" s="471" t="n"/>
      <c r="AJ91" s="472" t="n"/>
      <c r="AK91" s="470" t="n"/>
      <c r="AL91" s="471" t="n"/>
      <c r="AM91" s="471" t="n"/>
      <c r="AN91" s="471" t="n"/>
      <c r="AO91" s="471" t="n"/>
      <c r="AP91" s="471" t="n"/>
      <c r="AQ91" s="471" t="n"/>
      <c r="AR91" s="471" t="n"/>
    </row>
    <row r="92" ht="80" customFormat="1" customHeight="1" s="383">
      <c r="A92" s="483" t="n">
        <v>2</v>
      </c>
      <c r="B92" s="484" t="inlineStr">
        <is>
          <t>Изготовление и монтаж витража Вн-16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92" s="444" t="n"/>
      <c r="D92" s="444" t="n"/>
      <c r="E92" s="444" t="n"/>
      <c r="F92" s="444" t="n"/>
      <c r="G92" s="444" t="n"/>
      <c r="H92" s="444" t="n"/>
      <c r="I92" s="444" t="n"/>
      <c r="J92" s="341" t="n"/>
      <c r="K92" s="485" t="n"/>
      <c r="L92" s="486" t="n"/>
      <c r="M92" s="487" t="n"/>
      <c r="N92" s="488">
        <f>ROUND(5.78*0.7,2)</f>
        <v/>
      </c>
      <c r="O92" s="447" t="n"/>
      <c r="P92" s="447" t="n"/>
      <c r="Q92" s="447" t="n"/>
      <c r="R92" s="447" t="n"/>
      <c r="S92" s="447" t="n"/>
      <c r="T92" s="447" t="n"/>
      <c r="U92" s="448" t="n"/>
      <c r="V92" s="489">
        <f>AA92+AB93</f>
        <v/>
      </c>
      <c r="W92" s="444" t="n"/>
      <c r="X92" s="444" t="n"/>
      <c r="Y92" s="444" t="n"/>
      <c r="Z92" s="341" t="n"/>
      <c r="AA92" s="490" t="n">
        <v>2966</v>
      </c>
      <c r="AB92" s="490" t="n"/>
      <c r="AC92" s="489">
        <f>AF92+AG93</f>
        <v/>
      </c>
      <c r="AD92" s="444" t="n"/>
      <c r="AE92" s="341" t="n"/>
      <c r="AF92" s="490">
        <f>N92*AA92</f>
        <v/>
      </c>
      <c r="AG92" s="491" t="n"/>
      <c r="AH92" s="470" t="n"/>
      <c r="AI92" s="471" t="n"/>
      <c r="AJ92" s="472" t="n"/>
      <c r="AK92" s="470" t="n"/>
      <c r="AL92" s="471" t="n"/>
      <c r="AM92" s="471" t="n"/>
      <c r="AN92" s="471" t="n"/>
      <c r="AO92" s="471" t="n"/>
      <c r="AP92" s="471" t="n"/>
      <c r="AQ92" s="471" t="n"/>
      <c r="AR92" s="471" t="n"/>
    </row>
    <row r="93" ht="20.25" customFormat="1" customHeight="1" s="383">
      <c r="A93" s="492" t="n"/>
      <c r="B93" s="493" t="n"/>
      <c r="C93" s="494" t="inlineStr">
        <is>
          <t>Витражный блок Вн-16 (1200х4820 мм)</t>
        </is>
      </c>
      <c r="D93" s="444" t="n"/>
      <c r="E93" s="444" t="n"/>
      <c r="F93" s="444" t="n"/>
      <c r="G93" s="444" t="n"/>
      <c r="H93" s="444" t="n"/>
      <c r="I93" s="444" t="n"/>
      <c r="J93" s="341" t="n"/>
      <c r="K93" s="495" t="n"/>
      <c r="L93" s="496" t="inlineStr">
        <is>
          <t>м2</t>
        </is>
      </c>
      <c r="M93" s="497" t="n"/>
      <c r="N93" s="449" t="n"/>
      <c r="O93" s="450" t="n"/>
      <c r="P93" s="450" t="n"/>
      <c r="Q93" s="450" t="n"/>
      <c r="R93" s="450" t="n"/>
      <c r="S93" s="450" t="n"/>
      <c r="T93" s="450" t="n"/>
      <c r="U93" s="451" t="n"/>
      <c r="V93" s="498" t="n"/>
      <c r="W93" s="444" t="n"/>
      <c r="X93" s="444" t="n"/>
      <c r="Y93" s="444" t="n"/>
      <c r="Z93" s="341" t="n"/>
      <c r="AA93" s="499" t="n"/>
      <c r="AB93" s="499" t="n">
        <v>19734.44</v>
      </c>
      <c r="AC93" s="498" t="n"/>
      <c r="AD93" s="444" t="n"/>
      <c r="AE93" s="341" t="n"/>
      <c r="AF93" s="499" t="n"/>
      <c r="AG93" s="500">
        <f>AB93*N92</f>
        <v/>
      </c>
      <c r="AH93" s="470" t="n"/>
      <c r="AI93" s="471" t="n"/>
      <c r="AJ93" s="472" t="n"/>
      <c r="AK93" s="470" t="n"/>
      <c r="AL93" s="471" t="n"/>
      <c r="AM93" s="471" t="n"/>
      <c r="AN93" s="471" t="n"/>
      <c r="AO93" s="471" t="n"/>
      <c r="AP93" s="471" t="n"/>
      <c r="AQ93" s="471" t="n"/>
      <c r="AR93" s="471" t="n"/>
    </row>
    <row r="94" ht="80" customFormat="1" customHeight="1" s="383">
      <c r="A94" s="483" t="n">
        <v>3</v>
      </c>
      <c r="B94" s="484" t="inlineStr">
        <is>
          <t>Изготовление и монтаж витража Вн-13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94" s="444" t="n"/>
      <c r="D94" s="444" t="n"/>
      <c r="E94" s="444" t="n"/>
      <c r="F94" s="444" t="n"/>
      <c r="G94" s="444" t="n"/>
      <c r="H94" s="444" t="n"/>
      <c r="I94" s="444" t="n"/>
      <c r="J94" s="341" t="n"/>
      <c r="K94" s="485" t="n"/>
      <c r="L94" s="486" t="n"/>
      <c r="M94" s="487" t="n"/>
      <c r="N94" s="488">
        <f>ROUND(15.42*0.7,2)</f>
        <v/>
      </c>
      <c r="O94" s="447" t="n"/>
      <c r="P94" s="447" t="n"/>
      <c r="Q94" s="447" t="n"/>
      <c r="R94" s="447" t="n"/>
      <c r="S94" s="447" t="n"/>
      <c r="T94" s="447" t="n"/>
      <c r="U94" s="448" t="n"/>
      <c r="V94" s="489">
        <f>AA94+AB95</f>
        <v/>
      </c>
      <c r="W94" s="444" t="n"/>
      <c r="X94" s="444" t="n"/>
      <c r="Y94" s="444" t="n"/>
      <c r="Z94" s="341" t="n"/>
      <c r="AA94" s="490" t="n">
        <v>2966</v>
      </c>
      <c r="AB94" s="490" t="n"/>
      <c r="AC94" s="489">
        <f>AF94+AG95</f>
        <v/>
      </c>
      <c r="AD94" s="444" t="n"/>
      <c r="AE94" s="341" t="n"/>
      <c r="AF94" s="490">
        <f>N94*AA94</f>
        <v/>
      </c>
      <c r="AG94" s="491" t="n"/>
      <c r="AH94" s="470" t="n"/>
      <c r="AI94" s="471" t="n"/>
      <c r="AJ94" s="472" t="n"/>
      <c r="AK94" s="470" t="n"/>
      <c r="AL94" s="471" t="n"/>
      <c r="AM94" s="471" t="n"/>
      <c r="AN94" s="471" t="n"/>
      <c r="AO94" s="471" t="n"/>
      <c r="AP94" s="471" t="n"/>
      <c r="AQ94" s="471" t="n"/>
      <c r="AR94" s="471" t="n"/>
    </row>
    <row r="95" ht="20.25" customFormat="1" customHeight="1" s="383">
      <c r="A95" s="492" t="n"/>
      <c r="B95" s="493" t="n"/>
      <c r="C95" s="494" t="inlineStr">
        <is>
          <t>Витражный блок Вн-13 (3200х4820 мм)</t>
        </is>
      </c>
      <c r="D95" s="444" t="n"/>
      <c r="E95" s="444" t="n"/>
      <c r="F95" s="444" t="n"/>
      <c r="G95" s="444" t="n"/>
      <c r="H95" s="444" t="n"/>
      <c r="I95" s="444" t="n"/>
      <c r="J95" s="341" t="n"/>
      <c r="K95" s="495" t="n"/>
      <c r="L95" s="496" t="inlineStr">
        <is>
          <t>м2</t>
        </is>
      </c>
      <c r="M95" s="497" t="n"/>
      <c r="N95" s="449" t="n"/>
      <c r="O95" s="450" t="n"/>
      <c r="P95" s="450" t="n"/>
      <c r="Q95" s="450" t="n"/>
      <c r="R95" s="450" t="n"/>
      <c r="S95" s="450" t="n"/>
      <c r="T95" s="450" t="n"/>
      <c r="U95" s="451" t="n"/>
      <c r="V95" s="498" t="n"/>
      <c r="W95" s="444" t="n"/>
      <c r="X95" s="444" t="n"/>
      <c r="Y95" s="444" t="n"/>
      <c r="Z95" s="341" t="n"/>
      <c r="AA95" s="499" t="n"/>
      <c r="AB95" s="499" t="n">
        <v>19734.44</v>
      </c>
      <c r="AC95" s="498" t="n"/>
      <c r="AD95" s="444" t="n"/>
      <c r="AE95" s="341" t="n"/>
      <c r="AF95" s="499" t="n"/>
      <c r="AG95" s="500">
        <f>AB95*N94</f>
        <v/>
      </c>
      <c r="AH95" s="470" t="n"/>
      <c r="AI95" s="471" t="n"/>
      <c r="AJ95" s="472" t="n"/>
      <c r="AK95" s="470" t="n"/>
      <c r="AL95" s="471" t="n"/>
      <c r="AM95" s="471" t="n"/>
      <c r="AN95" s="471" t="n"/>
      <c r="AO95" s="471" t="n"/>
      <c r="AP95" s="471" t="n"/>
      <c r="AQ95" s="471" t="n"/>
      <c r="AR95" s="471" t="n"/>
    </row>
    <row r="96" ht="80" customFormat="1" customHeight="1" s="383">
      <c r="A96" s="483" t="n">
        <v>4</v>
      </c>
      <c r="B96" s="484" t="inlineStr">
        <is>
          <t>Изготовление и монтаж витража Вн-19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96" s="444" t="n"/>
      <c r="D96" s="444" t="n"/>
      <c r="E96" s="444" t="n"/>
      <c r="F96" s="444" t="n"/>
      <c r="G96" s="444" t="n"/>
      <c r="H96" s="444" t="n"/>
      <c r="I96" s="444" t="n"/>
      <c r="J96" s="341" t="n"/>
      <c r="K96" s="485" t="n"/>
      <c r="L96" s="486" t="n"/>
      <c r="M96" s="487" t="n"/>
      <c r="N96" s="488">
        <f>ROUND(28.92*0.7,2)</f>
        <v/>
      </c>
      <c r="O96" s="447" t="n"/>
      <c r="P96" s="447" t="n"/>
      <c r="Q96" s="447" t="n"/>
      <c r="R96" s="447" t="n"/>
      <c r="S96" s="447" t="n"/>
      <c r="T96" s="447" t="n"/>
      <c r="U96" s="448" t="n"/>
      <c r="V96" s="489">
        <f>AA96+AB97</f>
        <v/>
      </c>
      <c r="W96" s="444" t="n"/>
      <c r="X96" s="444" t="n"/>
      <c r="Y96" s="444" t="n"/>
      <c r="Z96" s="341" t="n"/>
      <c r="AA96" s="490" t="n">
        <v>2966</v>
      </c>
      <c r="AB96" s="490" t="n"/>
      <c r="AC96" s="489">
        <f>AF96+AG97</f>
        <v/>
      </c>
      <c r="AD96" s="444" t="n"/>
      <c r="AE96" s="341" t="n"/>
      <c r="AF96" s="490">
        <f>N96*AA96</f>
        <v/>
      </c>
      <c r="AG96" s="491" t="n"/>
      <c r="AH96" s="470" t="n"/>
      <c r="AI96" s="471" t="n"/>
      <c r="AJ96" s="472" t="n"/>
      <c r="AK96" s="470" t="n"/>
      <c r="AL96" s="471" t="n"/>
      <c r="AM96" s="471" t="n"/>
      <c r="AN96" s="471" t="n"/>
      <c r="AO96" s="471" t="n"/>
      <c r="AP96" s="471" t="n"/>
      <c r="AQ96" s="471" t="n"/>
      <c r="AR96" s="471" t="n"/>
    </row>
    <row r="97" ht="20.25" customFormat="1" customHeight="1" s="383">
      <c r="A97" s="492" t="n"/>
      <c r="B97" s="493" t="n"/>
      <c r="C97" s="494" t="inlineStr">
        <is>
          <t>Витражный блок Вн-19 (3000х4820 мм)</t>
        </is>
      </c>
      <c r="D97" s="444" t="n"/>
      <c r="E97" s="444" t="n"/>
      <c r="F97" s="444" t="n"/>
      <c r="G97" s="444" t="n"/>
      <c r="H97" s="444" t="n"/>
      <c r="I97" s="444" t="n"/>
      <c r="J97" s="341" t="n"/>
      <c r="K97" s="495" t="n"/>
      <c r="L97" s="496" t="inlineStr">
        <is>
          <t>м2</t>
        </is>
      </c>
      <c r="M97" s="497" t="n"/>
      <c r="N97" s="449" t="n"/>
      <c r="O97" s="450" t="n"/>
      <c r="P97" s="450" t="n"/>
      <c r="Q97" s="450" t="n"/>
      <c r="R97" s="450" t="n"/>
      <c r="S97" s="450" t="n"/>
      <c r="T97" s="450" t="n"/>
      <c r="U97" s="451" t="n"/>
      <c r="V97" s="498" t="n"/>
      <c r="W97" s="444" t="n"/>
      <c r="X97" s="444" t="n"/>
      <c r="Y97" s="444" t="n"/>
      <c r="Z97" s="341" t="n"/>
      <c r="AA97" s="499" t="n"/>
      <c r="AB97" s="499" t="n">
        <v>19734.44</v>
      </c>
      <c r="AC97" s="498" t="n"/>
      <c r="AD97" s="444" t="n"/>
      <c r="AE97" s="341" t="n"/>
      <c r="AF97" s="499" t="n"/>
      <c r="AG97" s="500">
        <f>AB97*N96</f>
        <v/>
      </c>
      <c r="AH97" s="470" t="n"/>
      <c r="AI97" s="471" t="n"/>
      <c r="AJ97" s="472" t="n"/>
      <c r="AK97" s="470" t="n"/>
      <c r="AL97" s="471" t="n"/>
      <c r="AM97" s="471" t="n"/>
      <c r="AN97" s="471" t="n"/>
      <c r="AO97" s="471" t="n"/>
      <c r="AP97" s="471" t="n"/>
      <c r="AQ97" s="471" t="n"/>
      <c r="AR97" s="471" t="n"/>
    </row>
    <row r="98" ht="80" customFormat="1" customHeight="1" s="383">
      <c r="A98" s="483" t="n">
        <v>5</v>
      </c>
      <c r="B98" s="484" t="inlineStr">
        <is>
          <t>Изготовление и монтаж витража Вн-22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98" s="444" t="n"/>
      <c r="D98" s="444" t="n"/>
      <c r="E98" s="444" t="n"/>
      <c r="F98" s="444" t="n"/>
      <c r="G98" s="444" t="n"/>
      <c r="H98" s="444" t="n"/>
      <c r="I98" s="444" t="n"/>
      <c r="J98" s="341" t="n"/>
      <c r="K98" s="485" t="n"/>
      <c r="L98" s="486" t="n"/>
      <c r="M98" s="487" t="n"/>
      <c r="N98" s="488">
        <f>ROUND(23.39*0.7,2)</f>
        <v/>
      </c>
      <c r="O98" s="447" t="n"/>
      <c r="P98" s="447" t="n"/>
      <c r="Q98" s="447" t="n"/>
      <c r="R98" s="447" t="n"/>
      <c r="S98" s="447" t="n"/>
      <c r="T98" s="447" t="n"/>
      <c r="U98" s="448" t="n"/>
      <c r="V98" s="489">
        <f>AA98+AB99</f>
        <v/>
      </c>
      <c r="W98" s="444" t="n"/>
      <c r="X98" s="444" t="n"/>
      <c r="Y98" s="444" t="n"/>
      <c r="Z98" s="341" t="n"/>
      <c r="AA98" s="490" t="n">
        <v>2966</v>
      </c>
      <c r="AB98" s="490" t="n"/>
      <c r="AC98" s="489">
        <f>AF98+AG99</f>
        <v/>
      </c>
      <c r="AD98" s="444" t="n"/>
      <c r="AE98" s="341" t="n"/>
      <c r="AF98" s="490">
        <f>N98*AA98</f>
        <v/>
      </c>
      <c r="AG98" s="491" t="n"/>
      <c r="AH98" s="470" t="n"/>
      <c r="AI98" s="471" t="n"/>
      <c r="AJ98" s="472" t="n"/>
      <c r="AK98" s="470" t="n"/>
      <c r="AL98" s="471" t="n"/>
      <c r="AM98" s="471" t="n"/>
      <c r="AN98" s="471" t="n"/>
      <c r="AO98" s="471" t="n"/>
      <c r="AP98" s="471" t="n"/>
      <c r="AQ98" s="471" t="n"/>
      <c r="AR98" s="471" t="n"/>
    </row>
    <row r="99" ht="20.25" customFormat="1" customHeight="1" s="383">
      <c r="A99" s="492" t="n"/>
      <c r="B99" s="493" t="n"/>
      <c r="C99" s="494" t="inlineStr">
        <is>
          <t>Витражный блок Вн-22 (2150х2720 мм)</t>
        </is>
      </c>
      <c r="D99" s="444" t="n"/>
      <c r="E99" s="444" t="n"/>
      <c r="F99" s="444" t="n"/>
      <c r="G99" s="444" t="n"/>
      <c r="H99" s="444" t="n"/>
      <c r="I99" s="444" t="n"/>
      <c r="J99" s="341" t="n"/>
      <c r="K99" s="495" t="n"/>
      <c r="L99" s="496" t="inlineStr">
        <is>
          <t>м2</t>
        </is>
      </c>
      <c r="M99" s="497" t="n"/>
      <c r="N99" s="449" t="n"/>
      <c r="O99" s="450" t="n"/>
      <c r="P99" s="450" t="n"/>
      <c r="Q99" s="450" t="n"/>
      <c r="R99" s="450" t="n"/>
      <c r="S99" s="450" t="n"/>
      <c r="T99" s="450" t="n"/>
      <c r="U99" s="451" t="n"/>
      <c r="V99" s="498" t="n"/>
      <c r="W99" s="444" t="n"/>
      <c r="X99" s="444" t="n"/>
      <c r="Y99" s="444" t="n"/>
      <c r="Z99" s="341" t="n"/>
      <c r="AA99" s="499" t="n"/>
      <c r="AB99" s="499" t="n">
        <v>19734.44</v>
      </c>
      <c r="AC99" s="498" t="n"/>
      <c r="AD99" s="444" t="n"/>
      <c r="AE99" s="341" t="n"/>
      <c r="AF99" s="499" t="n"/>
      <c r="AG99" s="500">
        <f>AB99*N98</f>
        <v/>
      </c>
      <c r="AH99" s="470" t="n"/>
      <c r="AI99" s="471" t="n"/>
      <c r="AJ99" s="472" t="n"/>
      <c r="AK99" s="470" t="n"/>
      <c r="AL99" s="471" t="n"/>
      <c r="AM99" s="471" t="n"/>
      <c r="AN99" s="471" t="n"/>
      <c r="AO99" s="471" t="n"/>
      <c r="AP99" s="471" t="n"/>
      <c r="AQ99" s="471" t="n"/>
      <c r="AR99" s="471" t="n"/>
    </row>
    <row r="100" ht="15.75" customFormat="1" customHeight="1" s="383">
      <c r="A100" s="473" t="n"/>
      <c r="B100" s="474" t="inlineStr">
        <is>
          <t>Двери наружные входные</t>
        </is>
      </c>
      <c r="C100" s="475" t="n"/>
      <c r="D100" s="475" t="n"/>
      <c r="E100" s="475" t="n"/>
      <c r="F100" s="475" t="n"/>
      <c r="G100" s="475" t="n"/>
      <c r="H100" s="475" t="n"/>
      <c r="I100" s="475" t="n"/>
      <c r="J100" s="475" t="n"/>
      <c r="K100" s="476" t="n"/>
      <c r="L100" s="477" t="n"/>
      <c r="M100" s="477" t="n"/>
      <c r="N100" s="478" t="n"/>
      <c r="O100" s="478" t="n"/>
      <c r="P100" s="478" t="n"/>
      <c r="Q100" s="479" t="n"/>
      <c r="R100" s="479" t="n"/>
      <c r="S100" s="479" t="n"/>
      <c r="T100" s="479" t="n"/>
      <c r="U100" s="479" t="n"/>
      <c r="V100" s="480" t="n"/>
      <c r="W100" s="480" t="n"/>
      <c r="X100" s="480" t="n"/>
      <c r="Y100" s="480" t="n"/>
      <c r="Z100" s="480" t="n"/>
      <c r="AA100" s="480" t="n"/>
      <c r="AB100" s="480" t="n"/>
      <c r="AC100" s="481" t="n"/>
      <c r="AD100" s="481" t="n"/>
      <c r="AE100" s="481" t="n"/>
      <c r="AF100" s="481" t="n"/>
      <c r="AG100" s="482" t="n"/>
      <c r="AH100" s="470" t="n"/>
      <c r="AI100" s="471" t="n"/>
      <c r="AJ100" s="472" t="n"/>
      <c r="AK100" s="470" t="n"/>
      <c r="AL100" s="471" t="n"/>
      <c r="AM100" s="471" t="n"/>
      <c r="AN100" s="471" t="n"/>
      <c r="AO100" s="471" t="n"/>
      <c r="AP100" s="471" t="n"/>
      <c r="AQ100" s="471" t="n"/>
      <c r="AR100" s="471" t="n"/>
    </row>
    <row r="101" ht="63" customFormat="1" customHeight="1" s="383">
      <c r="A101" s="483" t="n">
        <v>6</v>
      </c>
      <c r="B101" s="484" t="inlineStr">
        <is>
          <t>Изготовление и монтаж дверных блоков входных двупольных Д17*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</t>
        </is>
      </c>
      <c r="C101" s="444" t="n"/>
      <c r="D101" s="444" t="n"/>
      <c r="E101" s="444" t="n"/>
      <c r="F101" s="444" t="n"/>
      <c r="G101" s="444" t="n"/>
      <c r="H101" s="444" t="n"/>
      <c r="I101" s="444" t="n"/>
      <c r="J101" s="341" t="n"/>
      <c r="K101" s="485" t="n"/>
      <c r="L101" s="486" t="n"/>
      <c r="M101" s="487" t="n"/>
      <c r="N101" s="488">
        <f>ROUND(9.4*0.7,2)</f>
        <v/>
      </c>
      <c r="O101" s="447" t="n"/>
      <c r="P101" s="447" t="n"/>
      <c r="Q101" s="447" t="n"/>
      <c r="R101" s="447" t="n"/>
      <c r="S101" s="447" t="n"/>
      <c r="T101" s="447" t="n"/>
      <c r="U101" s="448" t="n"/>
      <c r="V101" s="489">
        <f>AA101+AB102</f>
        <v/>
      </c>
      <c r="W101" s="444" t="n"/>
      <c r="X101" s="444" t="n"/>
      <c r="Y101" s="444" t="n"/>
      <c r="Z101" s="341" t="n"/>
      <c r="AA101" s="490" t="n">
        <v>2966</v>
      </c>
      <c r="AB101" s="490" t="n"/>
      <c r="AC101" s="489">
        <f>AF101+AG102</f>
        <v/>
      </c>
      <c r="AD101" s="444" t="n"/>
      <c r="AE101" s="341" t="n"/>
      <c r="AF101" s="490">
        <f>N101*AA101</f>
        <v/>
      </c>
      <c r="AG101" s="491" t="n"/>
      <c r="AH101" s="470" t="n"/>
      <c r="AI101" s="471" t="n"/>
      <c r="AJ101" s="472" t="n"/>
      <c r="AK101" s="470" t="n"/>
      <c r="AL101" s="471" t="n"/>
      <c r="AM101" s="471" t="n"/>
      <c r="AN101" s="471" t="n"/>
      <c r="AO101" s="471" t="n"/>
      <c r="AP101" s="471" t="n"/>
      <c r="AQ101" s="471" t="n"/>
      <c r="AR101" s="471" t="n"/>
    </row>
    <row r="102" ht="20.25" customFormat="1" customHeight="1" s="383">
      <c r="A102" s="492" t="n"/>
      <c r="B102" s="493" t="n"/>
      <c r="C102" s="494" t="inlineStr">
        <is>
          <t>Дверной блок наружный ДНМО 2410х1300 П</t>
        </is>
      </c>
      <c r="D102" s="444" t="n"/>
      <c r="E102" s="444" t="n"/>
      <c r="F102" s="444" t="n"/>
      <c r="G102" s="444" t="n"/>
      <c r="H102" s="444" t="n"/>
      <c r="I102" s="444" t="n"/>
      <c r="J102" s="341" t="n"/>
      <c r="K102" s="495" t="n"/>
      <c r="L102" s="496" t="inlineStr">
        <is>
          <t>м2</t>
        </is>
      </c>
      <c r="M102" s="497" t="n"/>
      <c r="N102" s="449" t="n"/>
      <c r="O102" s="450" t="n"/>
      <c r="P102" s="450" t="n"/>
      <c r="Q102" s="450" t="n"/>
      <c r="R102" s="450" t="n"/>
      <c r="S102" s="450" t="n"/>
      <c r="T102" s="450" t="n"/>
      <c r="U102" s="451" t="n"/>
      <c r="V102" s="498" t="n"/>
      <c r="W102" s="444" t="n"/>
      <c r="X102" s="444" t="n"/>
      <c r="Y102" s="444" t="n"/>
      <c r="Z102" s="341" t="n"/>
      <c r="AA102" s="499" t="n"/>
      <c r="AB102" s="499" t="n">
        <v>19734.44</v>
      </c>
      <c r="AC102" s="498" t="n"/>
      <c r="AD102" s="444" t="n"/>
      <c r="AE102" s="341" t="n"/>
      <c r="AF102" s="499" t="n"/>
      <c r="AG102" s="500">
        <f>AB102*N101</f>
        <v/>
      </c>
      <c r="AH102" s="470" t="n"/>
      <c r="AI102" s="471" t="n"/>
      <c r="AJ102" s="472" t="n"/>
      <c r="AK102" s="470" t="n"/>
      <c r="AL102" s="471" t="n"/>
      <c r="AM102" s="471" t="n"/>
      <c r="AN102" s="471" t="n"/>
      <c r="AO102" s="471" t="n"/>
      <c r="AP102" s="471" t="n"/>
      <c r="AQ102" s="471" t="n"/>
      <c r="AR102" s="471" t="n"/>
    </row>
    <row r="103" ht="63" customFormat="1" customHeight="1" s="383">
      <c r="A103" s="483" t="n">
        <v>7</v>
      </c>
      <c r="B103" s="484" t="inlineStr">
        <is>
          <t xml:space="preserve">Изготовление и монтаж дверных блоков входных однопольных Д18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03" s="444" t="n"/>
      <c r="D103" s="444" t="n"/>
      <c r="E103" s="444" t="n"/>
      <c r="F103" s="444" t="n"/>
      <c r="G103" s="444" t="n"/>
      <c r="H103" s="444" t="n"/>
      <c r="I103" s="444" t="n"/>
      <c r="J103" s="341" t="n"/>
      <c r="K103" s="485" t="n"/>
      <c r="L103" s="486" t="n"/>
      <c r="M103" s="487" t="n"/>
      <c r="N103" s="488">
        <f>ROUND(2.1*0.7,2)</f>
        <v/>
      </c>
      <c r="O103" s="447" t="n"/>
      <c r="P103" s="447" t="n"/>
      <c r="Q103" s="447" t="n"/>
      <c r="R103" s="447" t="n"/>
      <c r="S103" s="447" t="n"/>
      <c r="T103" s="447" t="n"/>
      <c r="U103" s="448" t="n"/>
      <c r="V103" s="489">
        <f>AA103+AB104</f>
        <v/>
      </c>
      <c r="W103" s="444" t="n"/>
      <c r="X103" s="444" t="n"/>
      <c r="Y103" s="444" t="n"/>
      <c r="Z103" s="341" t="n"/>
      <c r="AA103" s="490" t="n">
        <v>2966</v>
      </c>
      <c r="AB103" s="490" t="n"/>
      <c r="AC103" s="489">
        <f>AF103+AG104</f>
        <v/>
      </c>
      <c r="AD103" s="444" t="n"/>
      <c r="AE103" s="341" t="n"/>
      <c r="AF103" s="490">
        <f>N103*AA103</f>
        <v/>
      </c>
      <c r="AG103" s="491" t="n"/>
      <c r="AH103" s="470" t="n"/>
      <c r="AI103" s="471" t="n"/>
      <c r="AJ103" s="472" t="n"/>
      <c r="AK103" s="470" t="n"/>
      <c r="AL103" s="471" t="n"/>
      <c r="AM103" s="471" t="n"/>
      <c r="AN103" s="471" t="n"/>
      <c r="AO103" s="471" t="n"/>
      <c r="AP103" s="471" t="n"/>
      <c r="AQ103" s="471" t="n"/>
      <c r="AR103" s="471" t="n"/>
    </row>
    <row r="104" ht="20.25" customFormat="1" customHeight="1" s="383">
      <c r="A104" s="492" t="n"/>
      <c r="B104" s="493" t="n"/>
      <c r="C104" s="494" t="inlineStr">
        <is>
          <t>Дверной блок наружный ДМН 2100х1000 П</t>
        </is>
      </c>
      <c r="D104" s="444" t="n"/>
      <c r="E104" s="444" t="n"/>
      <c r="F104" s="444" t="n"/>
      <c r="G104" s="444" t="n"/>
      <c r="H104" s="444" t="n"/>
      <c r="I104" s="444" t="n"/>
      <c r="J104" s="341" t="n"/>
      <c r="K104" s="495" t="n"/>
      <c r="L104" s="496" t="inlineStr">
        <is>
          <t>м2</t>
        </is>
      </c>
      <c r="M104" s="497" t="n"/>
      <c r="N104" s="449" t="n"/>
      <c r="O104" s="450" t="n"/>
      <c r="P104" s="450" t="n"/>
      <c r="Q104" s="450" t="n"/>
      <c r="R104" s="450" t="n"/>
      <c r="S104" s="450" t="n"/>
      <c r="T104" s="450" t="n"/>
      <c r="U104" s="451" t="n"/>
      <c r="V104" s="498" t="n"/>
      <c r="W104" s="444" t="n"/>
      <c r="X104" s="444" t="n"/>
      <c r="Y104" s="444" t="n"/>
      <c r="Z104" s="341" t="n"/>
      <c r="AA104" s="499" t="n"/>
      <c r="AB104" s="499" t="n">
        <v>19734.44</v>
      </c>
      <c r="AC104" s="498" t="n"/>
      <c r="AD104" s="444" t="n"/>
      <c r="AE104" s="341" t="n"/>
      <c r="AF104" s="499" t="n"/>
      <c r="AG104" s="500">
        <f>AB104*N103</f>
        <v/>
      </c>
      <c r="AH104" s="470" t="n"/>
      <c r="AI104" s="471" t="n"/>
      <c r="AJ104" s="472" t="n"/>
      <c r="AK104" s="470" t="n"/>
      <c r="AL104" s="471" t="n"/>
      <c r="AM104" s="471" t="n"/>
      <c r="AN104" s="471" t="n"/>
      <c r="AO104" s="471" t="n"/>
      <c r="AP104" s="471" t="n"/>
      <c r="AQ104" s="471" t="n"/>
      <c r="AR104" s="471" t="n"/>
    </row>
    <row r="105" ht="63" customFormat="1" customHeight="1" s="383">
      <c r="A105" s="483" t="n">
        <v>8</v>
      </c>
      <c r="B105" s="484" t="inlineStr">
        <is>
          <t xml:space="preserve">Изготовление и монтаж дверных блоков входных однопольных Д35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05" s="444" t="n"/>
      <c r="D105" s="444" t="n"/>
      <c r="E105" s="444" t="n"/>
      <c r="F105" s="444" t="n"/>
      <c r="G105" s="444" t="n"/>
      <c r="H105" s="444" t="n"/>
      <c r="I105" s="444" t="n"/>
      <c r="J105" s="341" t="n"/>
      <c r="K105" s="485" t="n"/>
      <c r="L105" s="486" t="n"/>
      <c r="M105" s="487" t="n"/>
      <c r="N105" s="488">
        <f>ROUND(3.13*0.7,2)</f>
        <v/>
      </c>
      <c r="O105" s="447" t="n"/>
      <c r="P105" s="447" t="n"/>
      <c r="Q105" s="447" t="n"/>
      <c r="R105" s="447" t="n"/>
      <c r="S105" s="447" t="n"/>
      <c r="T105" s="447" t="n"/>
      <c r="U105" s="448" t="n"/>
      <c r="V105" s="489">
        <f>AA105+AB106</f>
        <v/>
      </c>
      <c r="W105" s="444" t="n"/>
      <c r="X105" s="444" t="n"/>
      <c r="Y105" s="444" t="n"/>
      <c r="Z105" s="341" t="n"/>
      <c r="AA105" s="490" t="n">
        <v>2966</v>
      </c>
      <c r="AB105" s="490" t="n"/>
      <c r="AC105" s="489">
        <f>AF105+AG106</f>
        <v/>
      </c>
      <c r="AD105" s="444" t="n"/>
      <c r="AE105" s="341" t="n"/>
      <c r="AF105" s="490">
        <f>N105*AA105</f>
        <v/>
      </c>
      <c r="AG105" s="491" t="n"/>
      <c r="AH105" s="470" t="n"/>
      <c r="AI105" s="471" t="n"/>
      <c r="AJ105" s="472" t="n"/>
      <c r="AK105" s="470" t="n"/>
      <c r="AL105" s="471" t="n"/>
      <c r="AM105" s="471" t="n"/>
      <c r="AN105" s="471" t="n"/>
      <c r="AO105" s="471" t="n"/>
      <c r="AP105" s="471" t="n"/>
      <c r="AQ105" s="471" t="n"/>
      <c r="AR105" s="471" t="n"/>
    </row>
    <row r="106" ht="20.25" customFormat="1" customHeight="1" s="383">
      <c r="A106" s="492" t="n"/>
      <c r="B106" s="493" t="n"/>
      <c r="C106" s="494" t="inlineStr">
        <is>
          <t>Дверной блок наружный  ДНМО 2410х1300 Л</t>
        </is>
      </c>
      <c r="D106" s="444" t="n"/>
      <c r="E106" s="444" t="n"/>
      <c r="F106" s="444" t="n"/>
      <c r="G106" s="444" t="n"/>
      <c r="H106" s="444" t="n"/>
      <c r="I106" s="444" t="n"/>
      <c r="J106" s="341" t="n"/>
      <c r="K106" s="495" t="n"/>
      <c r="L106" s="496" t="inlineStr">
        <is>
          <t>м2</t>
        </is>
      </c>
      <c r="M106" s="497" t="n"/>
      <c r="N106" s="449" t="n"/>
      <c r="O106" s="450" t="n"/>
      <c r="P106" s="450" t="n"/>
      <c r="Q106" s="450" t="n"/>
      <c r="R106" s="450" t="n"/>
      <c r="S106" s="450" t="n"/>
      <c r="T106" s="450" t="n"/>
      <c r="U106" s="451" t="n"/>
      <c r="V106" s="498" t="n"/>
      <c r="W106" s="444" t="n"/>
      <c r="X106" s="444" t="n"/>
      <c r="Y106" s="444" t="n"/>
      <c r="Z106" s="341" t="n"/>
      <c r="AA106" s="499" t="n"/>
      <c r="AB106" s="499" t="n">
        <v>19734.44</v>
      </c>
      <c r="AC106" s="498" t="n"/>
      <c r="AD106" s="444" t="n"/>
      <c r="AE106" s="341" t="n"/>
      <c r="AF106" s="499" t="n"/>
      <c r="AG106" s="500">
        <f>AB106*N105</f>
        <v/>
      </c>
      <c r="AH106" s="470" t="n"/>
      <c r="AI106" s="471" t="n"/>
      <c r="AJ106" s="472" t="n"/>
      <c r="AK106" s="470" t="n"/>
      <c r="AL106" s="471" t="n"/>
      <c r="AM106" s="471" t="n"/>
      <c r="AN106" s="471" t="n"/>
      <c r="AO106" s="471" t="n"/>
      <c r="AP106" s="471" t="n"/>
      <c r="AQ106" s="471" t="n"/>
      <c r="AR106" s="471" t="n"/>
    </row>
    <row r="107" ht="63" customFormat="1" customHeight="1" s="383">
      <c r="A107" s="483" t="n">
        <v>9</v>
      </c>
      <c r="B107" s="484" t="inlineStr">
        <is>
          <t xml:space="preserve">Изготовление и монтаж дверных блоков входных однопольных Д36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07" s="444" t="n"/>
      <c r="D107" s="444" t="n"/>
      <c r="E107" s="444" t="n"/>
      <c r="F107" s="444" t="n"/>
      <c r="G107" s="444" t="n"/>
      <c r="H107" s="444" t="n"/>
      <c r="I107" s="444" t="n"/>
      <c r="J107" s="341" t="n"/>
      <c r="K107" s="485" t="n"/>
      <c r="L107" s="486" t="n"/>
      <c r="M107" s="487" t="n"/>
      <c r="N107" s="488">
        <f>ROUND(2.94*0.7,2)</f>
        <v/>
      </c>
      <c r="O107" s="447" t="n"/>
      <c r="P107" s="447" t="n"/>
      <c r="Q107" s="447" t="n"/>
      <c r="R107" s="447" t="n"/>
      <c r="S107" s="447" t="n"/>
      <c r="T107" s="447" t="n"/>
      <c r="U107" s="448" t="n"/>
      <c r="V107" s="489">
        <f>AA107+AB108</f>
        <v/>
      </c>
      <c r="W107" s="444" t="n"/>
      <c r="X107" s="444" t="n"/>
      <c r="Y107" s="444" t="n"/>
      <c r="Z107" s="341" t="n"/>
      <c r="AA107" s="490" t="n">
        <v>2966</v>
      </c>
      <c r="AB107" s="490" t="n"/>
      <c r="AC107" s="489">
        <f>AF107+AG108</f>
        <v/>
      </c>
      <c r="AD107" s="444" t="n"/>
      <c r="AE107" s="341" t="n"/>
      <c r="AF107" s="490">
        <f>N107*AA107</f>
        <v/>
      </c>
      <c r="AG107" s="491" t="n"/>
      <c r="AH107" s="470" t="n"/>
      <c r="AI107" s="471" t="n"/>
      <c r="AJ107" s="472" t="n"/>
      <c r="AK107" s="470" t="n"/>
      <c r="AL107" s="471" t="n"/>
      <c r="AM107" s="471" t="n"/>
      <c r="AN107" s="471" t="n"/>
      <c r="AO107" s="471" t="n"/>
      <c r="AP107" s="471" t="n"/>
      <c r="AQ107" s="471" t="n"/>
      <c r="AR107" s="471" t="n"/>
    </row>
    <row r="108" ht="20.25" customFormat="1" customHeight="1" s="383">
      <c r="A108" s="492" t="n"/>
      <c r="B108" s="493" t="n"/>
      <c r="C108" s="494" t="inlineStr">
        <is>
          <t>Дверной блок наружный  ДМНО 2100х1400 Л</t>
        </is>
      </c>
      <c r="D108" s="444" t="n"/>
      <c r="E108" s="444" t="n"/>
      <c r="F108" s="444" t="n"/>
      <c r="G108" s="444" t="n"/>
      <c r="H108" s="444" t="n"/>
      <c r="I108" s="444" t="n"/>
      <c r="J108" s="341" t="n"/>
      <c r="K108" s="495" t="n"/>
      <c r="L108" s="496" t="inlineStr">
        <is>
          <t>м2</t>
        </is>
      </c>
      <c r="M108" s="497" t="n"/>
      <c r="N108" s="449" t="n"/>
      <c r="O108" s="450" t="n"/>
      <c r="P108" s="450" t="n"/>
      <c r="Q108" s="450" t="n"/>
      <c r="R108" s="450" t="n"/>
      <c r="S108" s="450" t="n"/>
      <c r="T108" s="450" t="n"/>
      <c r="U108" s="451" t="n"/>
      <c r="V108" s="498" t="n"/>
      <c r="W108" s="444" t="n"/>
      <c r="X108" s="444" t="n"/>
      <c r="Y108" s="444" t="n"/>
      <c r="Z108" s="341" t="n"/>
      <c r="AA108" s="499" t="n"/>
      <c r="AB108" s="499" t="n">
        <v>19734.44</v>
      </c>
      <c r="AC108" s="498" t="n"/>
      <c r="AD108" s="444" t="n"/>
      <c r="AE108" s="341" t="n"/>
      <c r="AF108" s="499" t="n"/>
      <c r="AG108" s="500">
        <f>AB108*N107</f>
        <v/>
      </c>
      <c r="AH108" s="470" t="n"/>
      <c r="AI108" s="471" t="n"/>
      <c r="AJ108" s="472" t="n"/>
      <c r="AK108" s="470" t="n"/>
      <c r="AL108" s="471" t="n"/>
      <c r="AM108" s="471" t="n"/>
      <c r="AN108" s="471" t="n"/>
      <c r="AO108" s="471" t="n"/>
      <c r="AP108" s="471" t="n"/>
      <c r="AQ108" s="471" t="n"/>
      <c r="AR108" s="471" t="n"/>
    </row>
    <row r="109" ht="63" customFormat="1" customHeight="1" s="383">
      <c r="A109" s="483" t="n">
        <v>10</v>
      </c>
      <c r="B109" s="484" t="inlineStr">
        <is>
          <t xml:space="preserve">Изготовление и монтаж дверных блоков входных двупольных Д37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09" s="444" t="n"/>
      <c r="D109" s="444" t="n"/>
      <c r="E109" s="444" t="n"/>
      <c r="F109" s="444" t="n"/>
      <c r="G109" s="444" t="n"/>
      <c r="H109" s="444" t="n"/>
      <c r="I109" s="444" t="n"/>
      <c r="J109" s="341" t="n"/>
      <c r="K109" s="485" t="n"/>
      <c r="L109" s="486" t="n"/>
      <c r="M109" s="487" t="n"/>
      <c r="N109" s="488">
        <f>ROUND(2.94*0.7,2)</f>
        <v/>
      </c>
      <c r="O109" s="447" t="n"/>
      <c r="P109" s="447" t="n"/>
      <c r="Q109" s="447" t="n"/>
      <c r="R109" s="447" t="n"/>
      <c r="S109" s="447" t="n"/>
      <c r="T109" s="447" t="n"/>
      <c r="U109" s="448" t="n"/>
      <c r="V109" s="489">
        <f>AA109+AB110</f>
        <v/>
      </c>
      <c r="W109" s="444" t="n"/>
      <c r="X109" s="444" t="n"/>
      <c r="Y109" s="444" t="n"/>
      <c r="Z109" s="341" t="n"/>
      <c r="AA109" s="490" t="n">
        <v>2966</v>
      </c>
      <c r="AB109" s="490" t="n"/>
      <c r="AC109" s="489">
        <f>AF109+AG110</f>
        <v/>
      </c>
      <c r="AD109" s="444" t="n"/>
      <c r="AE109" s="341" t="n"/>
      <c r="AF109" s="490">
        <f>N109*AA109</f>
        <v/>
      </c>
      <c r="AG109" s="491" t="n"/>
      <c r="AH109" s="470" t="n"/>
      <c r="AI109" s="471" t="n"/>
      <c r="AJ109" s="472" t="n"/>
      <c r="AK109" s="470" t="n"/>
      <c r="AL109" s="471" t="n"/>
      <c r="AM109" s="471" t="n"/>
      <c r="AN109" s="471" t="n"/>
      <c r="AO109" s="471" t="n"/>
      <c r="AP109" s="471" t="n"/>
      <c r="AQ109" s="471" t="n"/>
      <c r="AR109" s="471" t="n"/>
    </row>
    <row r="110" ht="20.25" customFormat="1" customHeight="1" s="383">
      <c r="A110" s="492" t="n"/>
      <c r="B110" s="493" t="n"/>
      <c r="C110" s="494" t="inlineStr">
        <is>
          <t>Дверной блок наружный  ДМНО 2100х1400 Л</t>
        </is>
      </c>
      <c r="D110" s="444" t="n"/>
      <c r="E110" s="444" t="n"/>
      <c r="F110" s="444" t="n"/>
      <c r="G110" s="444" t="n"/>
      <c r="H110" s="444" t="n"/>
      <c r="I110" s="444" t="n"/>
      <c r="J110" s="341" t="n"/>
      <c r="K110" s="495" t="n"/>
      <c r="L110" s="496" t="inlineStr">
        <is>
          <t>м2</t>
        </is>
      </c>
      <c r="M110" s="497" t="n"/>
      <c r="N110" s="449" t="n"/>
      <c r="O110" s="450" t="n"/>
      <c r="P110" s="450" t="n"/>
      <c r="Q110" s="450" t="n"/>
      <c r="R110" s="450" t="n"/>
      <c r="S110" s="450" t="n"/>
      <c r="T110" s="450" t="n"/>
      <c r="U110" s="451" t="n"/>
      <c r="V110" s="498" t="n"/>
      <c r="W110" s="444" t="n"/>
      <c r="X110" s="444" t="n"/>
      <c r="Y110" s="444" t="n"/>
      <c r="Z110" s="341" t="n"/>
      <c r="AA110" s="499" t="n"/>
      <c r="AB110" s="499" t="n">
        <v>19734.44</v>
      </c>
      <c r="AC110" s="498" t="n"/>
      <c r="AD110" s="444" t="n"/>
      <c r="AE110" s="341" t="n"/>
      <c r="AF110" s="499" t="n"/>
      <c r="AG110" s="500">
        <f>AB110*N109</f>
        <v/>
      </c>
      <c r="AH110" s="470" t="n"/>
      <c r="AI110" s="471" t="n"/>
      <c r="AJ110" s="472" t="n"/>
      <c r="AK110" s="470" t="n"/>
      <c r="AL110" s="471" t="n"/>
      <c r="AM110" s="471" t="n"/>
      <c r="AN110" s="471" t="n"/>
      <c r="AO110" s="471" t="n"/>
      <c r="AP110" s="471" t="n"/>
      <c r="AQ110" s="471" t="n"/>
      <c r="AR110" s="471" t="n"/>
    </row>
    <row r="111" ht="15.75" customFormat="1" customHeight="1" s="383">
      <c r="A111" s="462" t="n"/>
      <c r="B111" s="444" t="n"/>
      <c r="C111" s="501" t="n"/>
      <c r="D111" s="444" t="n"/>
      <c r="E111" s="444" t="n"/>
      <c r="F111" s="444" t="n"/>
      <c r="G111" s="444" t="n"/>
      <c r="H111" s="444" t="n"/>
      <c r="I111" s="444" t="n"/>
      <c r="J111" s="444" t="n"/>
      <c r="K111" s="464" t="n"/>
      <c r="L111" s="502" t="inlineStr">
        <is>
          <t>м2</t>
        </is>
      </c>
      <c r="M111" s="465" t="n"/>
      <c r="N111" s="503" t="n"/>
      <c r="O111" s="444" t="n"/>
      <c r="P111" s="444" t="n"/>
      <c r="Q111" s="467" t="n"/>
      <c r="R111" s="504">
        <f>SUM(N89:U110)</f>
        <v/>
      </c>
      <c r="S111" s="444" t="n"/>
      <c r="T111" s="444" t="n"/>
      <c r="U111" s="444" t="n"/>
      <c r="V111" s="468" t="n"/>
      <c r="W111" s="444" t="n"/>
      <c r="X111" s="444" t="n"/>
      <c r="Y111" s="444" t="n"/>
      <c r="Z111" s="444" t="n"/>
      <c r="AA111" s="468" t="n"/>
      <c r="AB111" s="468" t="n"/>
      <c r="AC111" s="505">
        <f>SUM(AC89:AE110)</f>
        <v/>
      </c>
      <c r="AD111" s="444" t="n"/>
      <c r="AE111" s="444" t="n"/>
      <c r="AF111" s="506" t="n"/>
      <c r="AG111" s="469" t="n"/>
      <c r="AH111" s="470" t="n"/>
      <c r="AI111" s="471" t="n"/>
      <c r="AJ111" s="472" t="n"/>
      <c r="AK111" s="470" t="n"/>
      <c r="AL111" s="471" t="n"/>
      <c r="AM111" s="471" t="n"/>
      <c r="AN111" s="471" t="n"/>
      <c r="AO111" s="471" t="n"/>
      <c r="AP111" s="471" t="n"/>
      <c r="AQ111" s="471" t="n"/>
      <c r="AR111" s="471" t="n"/>
    </row>
    <row r="112" ht="15.75" customFormat="1" customHeight="1" s="383">
      <c r="A112" s="462" t="n"/>
      <c r="B112" s="444" t="n"/>
      <c r="C112" s="463" t="inlineStr">
        <is>
          <t>Блок-секция Г</t>
        </is>
      </c>
      <c r="D112" s="444" t="n"/>
      <c r="E112" s="444" t="n"/>
      <c r="F112" s="444" t="n"/>
      <c r="G112" s="444" t="n"/>
      <c r="H112" s="444" t="n"/>
      <c r="I112" s="444" t="n"/>
      <c r="J112" s="444" t="n"/>
      <c r="K112" s="464" t="n"/>
      <c r="L112" s="465" t="n"/>
      <c r="M112" s="465" t="n"/>
      <c r="N112" s="466" t="n"/>
      <c r="O112" s="444" t="n"/>
      <c r="P112" s="444" t="n"/>
      <c r="Q112" s="467" t="n"/>
      <c r="R112" s="467" t="n"/>
      <c r="S112" s="444" t="n"/>
      <c r="T112" s="444" t="n"/>
      <c r="U112" s="444" t="n"/>
      <c r="V112" s="468" t="n"/>
      <c r="W112" s="444" t="n"/>
      <c r="X112" s="444" t="n"/>
      <c r="Y112" s="444" t="n"/>
      <c r="Z112" s="444" t="n"/>
      <c r="AA112" s="468" t="n"/>
      <c r="AB112" s="468" t="n"/>
      <c r="AC112" s="469" t="n"/>
      <c r="AD112" s="444" t="n"/>
      <c r="AE112" s="444" t="n"/>
      <c r="AF112" s="444" t="n"/>
      <c r="AG112" s="341" t="n"/>
      <c r="AH112" s="470" t="n"/>
      <c r="AI112" s="471" t="n"/>
      <c r="AJ112" s="472" t="n"/>
      <c r="AK112" s="470" t="n"/>
      <c r="AL112" s="471" t="n"/>
      <c r="AM112" s="471" t="n"/>
      <c r="AN112" s="471" t="n"/>
      <c r="AO112" s="471" t="n"/>
      <c r="AP112" s="471" t="n"/>
      <c r="AQ112" s="471" t="n"/>
      <c r="AR112" s="471" t="n"/>
    </row>
    <row r="113" ht="15.75" customFormat="1" customHeight="1" s="383">
      <c r="A113" s="473" t="n"/>
      <c r="B113" s="474" t="inlineStr">
        <is>
          <t>Витражные блоки</t>
        </is>
      </c>
      <c r="C113" s="475" t="n"/>
      <c r="D113" s="475" t="n"/>
      <c r="E113" s="475" t="n"/>
      <c r="F113" s="475" t="n"/>
      <c r="G113" s="475" t="n"/>
      <c r="H113" s="475" t="n"/>
      <c r="I113" s="475" t="n"/>
      <c r="J113" s="475" t="n"/>
      <c r="K113" s="476" t="n"/>
      <c r="L113" s="477" t="n"/>
      <c r="M113" s="477" t="n"/>
      <c r="N113" s="478" t="n"/>
      <c r="O113" s="478" t="n"/>
      <c r="P113" s="478" t="n"/>
      <c r="Q113" s="479" t="n"/>
      <c r="R113" s="479" t="n"/>
      <c r="S113" s="479" t="n"/>
      <c r="T113" s="479" t="n"/>
      <c r="U113" s="479" t="n"/>
      <c r="V113" s="480" t="n"/>
      <c r="W113" s="480" t="n"/>
      <c r="X113" s="480" t="n"/>
      <c r="Y113" s="480" t="n"/>
      <c r="Z113" s="480" t="n"/>
      <c r="AA113" s="480" t="n"/>
      <c r="AB113" s="480" t="n"/>
      <c r="AC113" s="481" t="n"/>
      <c r="AD113" s="481" t="n"/>
      <c r="AE113" s="481" t="n"/>
      <c r="AF113" s="481" t="n"/>
      <c r="AG113" s="482" t="n"/>
      <c r="AH113" s="470" t="n"/>
      <c r="AI113" s="471" t="n"/>
      <c r="AJ113" s="472" t="n"/>
      <c r="AK113" s="470" t="n"/>
      <c r="AL113" s="471" t="n"/>
      <c r="AM113" s="471" t="n"/>
      <c r="AN113" s="471" t="n"/>
      <c r="AO113" s="471" t="n"/>
      <c r="AP113" s="471" t="n"/>
      <c r="AQ113" s="471" t="n"/>
      <c r="AR113" s="471" t="n"/>
    </row>
    <row r="114" ht="80" customFormat="1" customHeight="1" s="383">
      <c r="A114" s="483" t="n">
        <v>1</v>
      </c>
      <c r="B114" s="484" t="inlineStr">
        <is>
          <t>Изготовление и монтаж витража Вн-6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14" s="444" t="n"/>
      <c r="D114" s="444" t="n"/>
      <c r="E114" s="444" t="n"/>
      <c r="F114" s="444" t="n"/>
      <c r="G114" s="444" t="n"/>
      <c r="H114" s="444" t="n"/>
      <c r="I114" s="444" t="n"/>
      <c r="J114" s="341" t="n"/>
      <c r="K114" s="485" t="n"/>
      <c r="L114" s="486" t="n"/>
      <c r="M114" s="487" t="n"/>
      <c r="N114" s="488">
        <f>ROUND(20.24*0.7,2)</f>
        <v/>
      </c>
      <c r="O114" s="447" t="n"/>
      <c r="P114" s="447" t="n"/>
      <c r="Q114" s="447" t="n"/>
      <c r="R114" s="447" t="n"/>
      <c r="S114" s="447" t="n"/>
      <c r="T114" s="447" t="n"/>
      <c r="U114" s="448" t="n"/>
      <c r="V114" s="489">
        <f>AA114+AB115</f>
        <v/>
      </c>
      <c r="W114" s="444" t="n"/>
      <c r="X114" s="444" t="n"/>
      <c r="Y114" s="444" t="n"/>
      <c r="Z114" s="341" t="n"/>
      <c r="AA114" s="490" t="n">
        <v>2966</v>
      </c>
      <c r="AB114" s="490" t="n"/>
      <c r="AC114" s="489">
        <f>AF114+AG115</f>
        <v/>
      </c>
      <c r="AD114" s="444" t="n"/>
      <c r="AE114" s="341" t="n"/>
      <c r="AF114" s="490">
        <f>N114*AA114</f>
        <v/>
      </c>
      <c r="AG114" s="491" t="n"/>
      <c r="AH114" s="470" t="n"/>
      <c r="AI114" s="471" t="n"/>
      <c r="AJ114" s="472" t="n"/>
      <c r="AK114" s="470" t="n"/>
      <c r="AL114" s="471" t="n"/>
      <c r="AM114" s="471" t="n"/>
      <c r="AN114" s="471" t="n"/>
      <c r="AO114" s="471" t="n"/>
      <c r="AP114" s="471" t="n"/>
      <c r="AQ114" s="471" t="n"/>
      <c r="AR114" s="471" t="n"/>
    </row>
    <row r="115" ht="20.25" customFormat="1" customHeight="1" s="383">
      <c r="A115" s="492" t="n"/>
      <c r="B115" s="493" t="n"/>
      <c r="C115" s="494" t="inlineStr">
        <is>
          <t>Витражный блок Вн-6 (4200х4820 мм)</t>
        </is>
      </c>
      <c r="D115" s="444" t="n"/>
      <c r="E115" s="444" t="n"/>
      <c r="F115" s="444" t="n"/>
      <c r="G115" s="444" t="n"/>
      <c r="H115" s="444" t="n"/>
      <c r="I115" s="444" t="n"/>
      <c r="J115" s="341" t="n"/>
      <c r="K115" s="495" t="n"/>
      <c r="L115" s="496" t="inlineStr">
        <is>
          <t>м2</t>
        </is>
      </c>
      <c r="M115" s="497" t="n"/>
      <c r="N115" s="449" t="n"/>
      <c r="O115" s="450" t="n"/>
      <c r="P115" s="450" t="n"/>
      <c r="Q115" s="450" t="n"/>
      <c r="R115" s="450" t="n"/>
      <c r="S115" s="450" t="n"/>
      <c r="T115" s="450" t="n"/>
      <c r="U115" s="451" t="n"/>
      <c r="V115" s="498" t="n"/>
      <c r="W115" s="444" t="n"/>
      <c r="X115" s="444" t="n"/>
      <c r="Y115" s="444" t="n"/>
      <c r="Z115" s="341" t="n"/>
      <c r="AA115" s="499" t="n"/>
      <c r="AB115" s="499" t="n">
        <v>19734.44</v>
      </c>
      <c r="AC115" s="498" t="n"/>
      <c r="AD115" s="444" t="n"/>
      <c r="AE115" s="341" t="n"/>
      <c r="AF115" s="499" t="n"/>
      <c r="AG115" s="500">
        <f>AB115*N114</f>
        <v/>
      </c>
      <c r="AH115" s="470" t="n"/>
      <c r="AI115" s="471" t="n"/>
      <c r="AJ115" s="472" t="n"/>
      <c r="AK115" s="470" t="n"/>
      <c r="AL115" s="471" t="n"/>
      <c r="AM115" s="471" t="n"/>
      <c r="AN115" s="471" t="n"/>
      <c r="AO115" s="471" t="n"/>
      <c r="AP115" s="471" t="n"/>
      <c r="AQ115" s="471" t="n"/>
      <c r="AR115" s="471" t="n"/>
    </row>
    <row r="116" ht="80" customFormat="1" customHeight="1" s="383">
      <c r="A116" s="483" t="n">
        <v>2</v>
      </c>
      <c r="B116" s="484" t="inlineStr">
        <is>
          <t>Изготовление и монтаж витража Вн-10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16" s="444" t="n"/>
      <c r="D116" s="444" t="n"/>
      <c r="E116" s="444" t="n"/>
      <c r="F116" s="444" t="n"/>
      <c r="G116" s="444" t="n"/>
      <c r="H116" s="444" t="n"/>
      <c r="I116" s="444" t="n"/>
      <c r="J116" s="341" t="n"/>
      <c r="K116" s="485" t="n"/>
      <c r="L116" s="486" t="n"/>
      <c r="M116" s="487" t="n"/>
      <c r="N116" s="488">
        <f>ROUND(20.05*0.7,2)</f>
        <v/>
      </c>
      <c r="O116" s="447" t="n"/>
      <c r="P116" s="447" t="n"/>
      <c r="Q116" s="447" t="n"/>
      <c r="R116" s="447" t="n"/>
      <c r="S116" s="447" t="n"/>
      <c r="T116" s="447" t="n"/>
      <c r="U116" s="448" t="n"/>
      <c r="V116" s="489">
        <f>AA116+AB117</f>
        <v/>
      </c>
      <c r="W116" s="444" t="n"/>
      <c r="X116" s="444" t="n"/>
      <c r="Y116" s="444" t="n"/>
      <c r="Z116" s="341" t="n"/>
      <c r="AA116" s="490" t="n">
        <v>2966</v>
      </c>
      <c r="AB116" s="490" t="n"/>
      <c r="AC116" s="489">
        <f>AF116+AG117</f>
        <v/>
      </c>
      <c r="AD116" s="444" t="n"/>
      <c r="AE116" s="341" t="n"/>
      <c r="AF116" s="490">
        <f>N116*AA116</f>
        <v/>
      </c>
      <c r="AG116" s="491" t="n"/>
      <c r="AH116" s="470" t="n"/>
      <c r="AI116" s="471" t="n"/>
      <c r="AJ116" s="472" t="n"/>
      <c r="AK116" s="470" t="n"/>
      <c r="AL116" s="471" t="n"/>
      <c r="AM116" s="471" t="n"/>
      <c r="AN116" s="471" t="n"/>
      <c r="AO116" s="471" t="n"/>
      <c r="AP116" s="471" t="n"/>
      <c r="AQ116" s="471" t="n"/>
      <c r="AR116" s="471" t="n"/>
    </row>
    <row r="117" ht="20.25" customFormat="1" customHeight="1" s="383">
      <c r="A117" s="492" t="n"/>
      <c r="B117" s="493" t="n"/>
      <c r="C117" s="494" t="inlineStr">
        <is>
          <t>Витражный блок Вн-10 (4160х4820 мм)</t>
        </is>
      </c>
      <c r="D117" s="444" t="n"/>
      <c r="E117" s="444" t="n"/>
      <c r="F117" s="444" t="n"/>
      <c r="G117" s="444" t="n"/>
      <c r="H117" s="444" t="n"/>
      <c r="I117" s="444" t="n"/>
      <c r="J117" s="341" t="n"/>
      <c r="K117" s="495" t="n"/>
      <c r="L117" s="496" t="inlineStr">
        <is>
          <t>м2</t>
        </is>
      </c>
      <c r="M117" s="497" t="n"/>
      <c r="N117" s="449" t="n"/>
      <c r="O117" s="450" t="n"/>
      <c r="P117" s="450" t="n"/>
      <c r="Q117" s="450" t="n"/>
      <c r="R117" s="450" t="n"/>
      <c r="S117" s="450" t="n"/>
      <c r="T117" s="450" t="n"/>
      <c r="U117" s="451" t="n"/>
      <c r="V117" s="498" t="n"/>
      <c r="W117" s="444" t="n"/>
      <c r="X117" s="444" t="n"/>
      <c r="Y117" s="444" t="n"/>
      <c r="Z117" s="341" t="n"/>
      <c r="AA117" s="499" t="n"/>
      <c r="AB117" s="499" t="n">
        <v>19734.44</v>
      </c>
      <c r="AC117" s="498" t="n"/>
      <c r="AD117" s="444" t="n"/>
      <c r="AE117" s="341" t="n"/>
      <c r="AF117" s="499" t="n"/>
      <c r="AG117" s="500">
        <f>AB117*N116</f>
        <v/>
      </c>
      <c r="AH117" s="470" t="n"/>
      <c r="AI117" s="471" t="n"/>
      <c r="AJ117" s="472" t="n"/>
      <c r="AK117" s="470" t="n"/>
      <c r="AL117" s="471" t="n"/>
      <c r="AM117" s="471" t="n"/>
      <c r="AN117" s="471" t="n"/>
      <c r="AO117" s="471" t="n"/>
      <c r="AP117" s="471" t="n"/>
      <c r="AQ117" s="471" t="n"/>
      <c r="AR117" s="471" t="n"/>
    </row>
    <row r="118" ht="80" customFormat="1" customHeight="1" s="383">
      <c r="A118" s="483" t="n">
        <v>3</v>
      </c>
      <c r="B118" s="484" t="inlineStr">
        <is>
          <t>Изготовление и монтаж витража Вн-11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18" s="444" t="n"/>
      <c r="D118" s="444" t="n"/>
      <c r="E118" s="444" t="n"/>
      <c r="F118" s="444" t="n"/>
      <c r="G118" s="444" t="n"/>
      <c r="H118" s="444" t="n"/>
      <c r="I118" s="444" t="n"/>
      <c r="J118" s="341" t="n"/>
      <c r="K118" s="485" t="n"/>
      <c r="L118" s="486" t="n"/>
      <c r="M118" s="487" t="n"/>
      <c r="N118" s="488">
        <f>ROUND(11.81*0.7,2)</f>
        <v/>
      </c>
      <c r="O118" s="447" t="n"/>
      <c r="P118" s="447" t="n"/>
      <c r="Q118" s="447" t="n"/>
      <c r="R118" s="447" t="n"/>
      <c r="S118" s="447" t="n"/>
      <c r="T118" s="447" t="n"/>
      <c r="U118" s="448" t="n"/>
      <c r="V118" s="489">
        <f>AA118+AB119</f>
        <v/>
      </c>
      <c r="W118" s="444" t="n"/>
      <c r="X118" s="444" t="n"/>
      <c r="Y118" s="444" t="n"/>
      <c r="Z118" s="341" t="n"/>
      <c r="AA118" s="490" t="n">
        <v>2966</v>
      </c>
      <c r="AB118" s="490" t="n"/>
      <c r="AC118" s="489">
        <f>AF118+AG119</f>
        <v/>
      </c>
      <c r="AD118" s="444" t="n"/>
      <c r="AE118" s="341" t="n"/>
      <c r="AF118" s="490">
        <f>N118*AA118</f>
        <v/>
      </c>
      <c r="AG118" s="491" t="n"/>
      <c r="AH118" s="470" t="n"/>
      <c r="AI118" s="471" t="n"/>
      <c r="AJ118" s="472" t="n"/>
      <c r="AK118" s="470" t="n"/>
      <c r="AL118" s="471" t="n"/>
      <c r="AM118" s="471" t="n"/>
      <c r="AN118" s="471" t="n"/>
      <c r="AO118" s="471" t="n"/>
      <c r="AP118" s="471" t="n"/>
      <c r="AQ118" s="471" t="n"/>
      <c r="AR118" s="471" t="n"/>
    </row>
    <row r="119" ht="20.25" customFormat="1" customHeight="1" s="383">
      <c r="A119" s="492" t="n"/>
      <c r="B119" s="493" t="n"/>
      <c r="C119" s="494" t="inlineStr">
        <is>
          <t>Витражный блок Вн-11 (2450х4820 мм)</t>
        </is>
      </c>
      <c r="D119" s="444" t="n"/>
      <c r="E119" s="444" t="n"/>
      <c r="F119" s="444" t="n"/>
      <c r="G119" s="444" t="n"/>
      <c r="H119" s="444" t="n"/>
      <c r="I119" s="444" t="n"/>
      <c r="J119" s="341" t="n"/>
      <c r="K119" s="495" t="n"/>
      <c r="L119" s="496" t="inlineStr">
        <is>
          <t>м2</t>
        </is>
      </c>
      <c r="M119" s="497" t="n"/>
      <c r="N119" s="449" t="n"/>
      <c r="O119" s="450" t="n"/>
      <c r="P119" s="450" t="n"/>
      <c r="Q119" s="450" t="n"/>
      <c r="R119" s="450" t="n"/>
      <c r="S119" s="450" t="n"/>
      <c r="T119" s="450" t="n"/>
      <c r="U119" s="451" t="n"/>
      <c r="V119" s="498" t="n"/>
      <c r="W119" s="444" t="n"/>
      <c r="X119" s="444" t="n"/>
      <c r="Y119" s="444" t="n"/>
      <c r="Z119" s="341" t="n"/>
      <c r="AA119" s="499" t="n"/>
      <c r="AB119" s="499" t="n">
        <v>19734.44</v>
      </c>
      <c r="AC119" s="498" t="n"/>
      <c r="AD119" s="444" t="n"/>
      <c r="AE119" s="341" t="n"/>
      <c r="AF119" s="499" t="n"/>
      <c r="AG119" s="500">
        <f>AB119*N118</f>
        <v/>
      </c>
      <c r="AH119" s="470" t="n"/>
      <c r="AI119" s="471" t="n"/>
      <c r="AJ119" s="472" t="n"/>
      <c r="AK119" s="470" t="n"/>
      <c r="AL119" s="471" t="n"/>
      <c r="AM119" s="471" t="n"/>
      <c r="AN119" s="471" t="n"/>
      <c r="AO119" s="471" t="n"/>
      <c r="AP119" s="471" t="n"/>
      <c r="AQ119" s="471" t="n"/>
      <c r="AR119" s="471" t="n"/>
    </row>
    <row r="120" ht="80" customHeight="1" s="285">
      <c r="A120" s="483" t="n">
        <v>4</v>
      </c>
      <c r="B120" s="484" t="inlineStr">
        <is>
          <t>Изготовление и монтаж витража Вн-12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20" s="444" t="n"/>
      <c r="D120" s="444" t="n"/>
      <c r="E120" s="444" t="n"/>
      <c r="F120" s="444" t="n"/>
      <c r="G120" s="444" t="n"/>
      <c r="H120" s="444" t="n"/>
      <c r="I120" s="444" t="n"/>
      <c r="J120" s="341" t="n"/>
      <c r="K120" s="485" t="n"/>
      <c r="L120" s="486" t="n"/>
      <c r="M120" s="487" t="n"/>
      <c r="N120" s="488">
        <f>ROUND(16.24*0.7,2)</f>
        <v/>
      </c>
      <c r="O120" s="447" t="n"/>
      <c r="P120" s="447" t="n"/>
      <c r="Q120" s="447" t="n"/>
      <c r="R120" s="447" t="n"/>
      <c r="S120" s="447" t="n"/>
      <c r="T120" s="447" t="n"/>
      <c r="U120" s="448" t="n"/>
      <c r="V120" s="489">
        <f>AA120+AB121</f>
        <v/>
      </c>
      <c r="W120" s="444" t="n"/>
      <c r="X120" s="444" t="n"/>
      <c r="Y120" s="444" t="n"/>
      <c r="Z120" s="341" t="n"/>
      <c r="AA120" s="490" t="n">
        <v>2966</v>
      </c>
      <c r="AB120" s="490" t="n"/>
      <c r="AC120" s="489">
        <f>AF120+AG121</f>
        <v/>
      </c>
      <c r="AD120" s="444" t="n"/>
      <c r="AE120" s="341" t="n"/>
      <c r="AF120" s="490">
        <f>N120*AA120</f>
        <v/>
      </c>
      <c r="AG120" s="491" t="n"/>
      <c r="AH120" s="470" t="n"/>
      <c r="AI120" s="471" t="n"/>
      <c r="AJ120" s="472" t="n"/>
      <c r="AK120" s="470" t="n"/>
      <c r="AL120" s="471" t="n"/>
      <c r="AM120" s="471" t="n"/>
      <c r="AN120" s="471" t="n"/>
      <c r="AO120" s="471" t="n"/>
      <c r="AP120" s="471" t="n"/>
      <c r="AQ120" s="471" t="n"/>
      <c r="AR120" s="471" t="n"/>
    </row>
    <row r="121" ht="20.25" customHeight="1" s="285">
      <c r="A121" s="492" t="n"/>
      <c r="B121" s="493" t="n"/>
      <c r="C121" s="494" t="inlineStr">
        <is>
          <t>Витражный блок Вн-12 (3370х4820 мм)</t>
        </is>
      </c>
      <c r="D121" s="444" t="n"/>
      <c r="E121" s="444" t="n"/>
      <c r="F121" s="444" t="n"/>
      <c r="G121" s="444" t="n"/>
      <c r="H121" s="444" t="n"/>
      <c r="I121" s="444" t="n"/>
      <c r="J121" s="341" t="n"/>
      <c r="K121" s="495" t="n"/>
      <c r="L121" s="496" t="inlineStr">
        <is>
          <t>м2</t>
        </is>
      </c>
      <c r="M121" s="497" t="n"/>
      <c r="N121" s="449" t="n"/>
      <c r="O121" s="450" t="n"/>
      <c r="P121" s="450" t="n"/>
      <c r="Q121" s="450" t="n"/>
      <c r="R121" s="450" t="n"/>
      <c r="S121" s="450" t="n"/>
      <c r="T121" s="450" t="n"/>
      <c r="U121" s="451" t="n"/>
      <c r="V121" s="498" t="n"/>
      <c r="W121" s="444" t="n"/>
      <c r="X121" s="444" t="n"/>
      <c r="Y121" s="444" t="n"/>
      <c r="Z121" s="341" t="n"/>
      <c r="AA121" s="499" t="n"/>
      <c r="AB121" s="499" t="n">
        <v>19734.44</v>
      </c>
      <c r="AC121" s="498" t="n"/>
      <c r="AD121" s="444" t="n"/>
      <c r="AE121" s="341" t="n"/>
      <c r="AF121" s="499" t="n"/>
      <c r="AG121" s="500">
        <f>AB121*N120</f>
        <v/>
      </c>
      <c r="AH121" s="470" t="n"/>
      <c r="AI121" s="471" t="n"/>
      <c r="AJ121" s="472" t="n"/>
      <c r="AK121" s="470" t="n"/>
      <c r="AL121" s="471" t="n"/>
      <c r="AM121" s="471" t="n"/>
      <c r="AN121" s="471" t="n"/>
      <c r="AO121" s="471" t="n"/>
      <c r="AP121" s="471" t="n"/>
      <c r="AQ121" s="471" t="n"/>
      <c r="AR121" s="471" t="n"/>
    </row>
    <row r="122" ht="80" customHeight="1" s="285">
      <c r="A122" s="483" t="n">
        <v>5</v>
      </c>
      <c r="B122" s="484" t="inlineStr">
        <is>
          <t>Изготовление и монтаж витража Вн-17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22" s="444" t="n"/>
      <c r="D122" s="444" t="n"/>
      <c r="E122" s="444" t="n"/>
      <c r="F122" s="444" t="n"/>
      <c r="G122" s="444" t="n"/>
      <c r="H122" s="444" t="n"/>
      <c r="I122" s="444" t="n"/>
      <c r="J122" s="341" t="n"/>
      <c r="K122" s="485" t="n"/>
      <c r="L122" s="486" t="n"/>
      <c r="M122" s="487" t="n"/>
      <c r="N122" s="488">
        <f>ROUND(20.24*0.7,2)</f>
        <v/>
      </c>
      <c r="O122" s="447" t="n"/>
      <c r="P122" s="447" t="n"/>
      <c r="Q122" s="447" t="n"/>
      <c r="R122" s="447" t="n"/>
      <c r="S122" s="447" t="n"/>
      <c r="T122" s="447" t="n"/>
      <c r="U122" s="448" t="n"/>
      <c r="V122" s="489">
        <f>AA122+AB123</f>
        <v/>
      </c>
      <c r="W122" s="444" t="n"/>
      <c r="X122" s="444" t="n"/>
      <c r="Y122" s="444" t="n"/>
      <c r="Z122" s="341" t="n"/>
      <c r="AA122" s="490" t="n">
        <v>2966</v>
      </c>
      <c r="AB122" s="490" t="n"/>
      <c r="AC122" s="489">
        <f>AF122+AG123</f>
        <v/>
      </c>
      <c r="AD122" s="444" t="n"/>
      <c r="AE122" s="341" t="n"/>
      <c r="AF122" s="490">
        <f>N122*AA122</f>
        <v/>
      </c>
      <c r="AG122" s="491" t="n"/>
      <c r="AH122" s="470" t="n"/>
      <c r="AI122" s="471" t="n"/>
      <c r="AJ122" s="472" t="n"/>
      <c r="AK122" s="470" t="n"/>
      <c r="AL122" s="471" t="n"/>
      <c r="AM122" s="471" t="n"/>
      <c r="AN122" s="471" t="n"/>
      <c r="AO122" s="471" t="n"/>
      <c r="AP122" s="471" t="n"/>
      <c r="AQ122" s="471" t="n"/>
      <c r="AR122" s="471" t="n"/>
    </row>
    <row r="123" ht="20.25" customHeight="1" s="285">
      <c r="A123" s="492" t="n"/>
      <c r="B123" s="493" t="n"/>
      <c r="C123" s="494" t="inlineStr">
        <is>
          <t>Витражный блок Вн-17 (4200х4820 мм)</t>
        </is>
      </c>
      <c r="D123" s="444" t="n"/>
      <c r="E123" s="444" t="n"/>
      <c r="F123" s="444" t="n"/>
      <c r="G123" s="444" t="n"/>
      <c r="H123" s="444" t="n"/>
      <c r="I123" s="444" t="n"/>
      <c r="J123" s="341" t="n"/>
      <c r="K123" s="495" t="n"/>
      <c r="L123" s="496" t="inlineStr">
        <is>
          <t>м2</t>
        </is>
      </c>
      <c r="M123" s="497" t="n"/>
      <c r="N123" s="449" t="n"/>
      <c r="O123" s="450" t="n"/>
      <c r="P123" s="450" t="n"/>
      <c r="Q123" s="450" t="n"/>
      <c r="R123" s="450" t="n"/>
      <c r="S123" s="450" t="n"/>
      <c r="T123" s="450" t="n"/>
      <c r="U123" s="451" t="n"/>
      <c r="V123" s="498" t="n"/>
      <c r="W123" s="444" t="n"/>
      <c r="X123" s="444" t="n"/>
      <c r="Y123" s="444" t="n"/>
      <c r="Z123" s="341" t="n"/>
      <c r="AA123" s="499" t="n"/>
      <c r="AB123" s="499" t="n">
        <v>19734.44</v>
      </c>
      <c r="AC123" s="498" t="n"/>
      <c r="AD123" s="444" t="n"/>
      <c r="AE123" s="341" t="n"/>
      <c r="AF123" s="499" t="n"/>
      <c r="AG123" s="500">
        <f>AB123*N122</f>
        <v/>
      </c>
      <c r="AH123" s="470" t="n"/>
      <c r="AI123" s="471" t="n"/>
      <c r="AJ123" s="472" t="n"/>
      <c r="AK123" s="470" t="n"/>
      <c r="AL123" s="471" t="n"/>
      <c r="AM123" s="471" t="n"/>
      <c r="AN123" s="471" t="n"/>
      <c r="AO123" s="471" t="n"/>
      <c r="AP123" s="471" t="n"/>
      <c r="AQ123" s="471" t="n"/>
      <c r="AR123" s="471" t="n"/>
    </row>
    <row r="124" ht="80" customHeight="1" s="285">
      <c r="A124" s="483" t="n">
        <v>6</v>
      </c>
      <c r="B124" s="484" t="inlineStr">
        <is>
          <t>Изготовление и монтаж витража Вн-20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24" s="444" t="n"/>
      <c r="D124" s="444" t="n"/>
      <c r="E124" s="444" t="n"/>
      <c r="F124" s="444" t="n"/>
      <c r="G124" s="444" t="n"/>
      <c r="H124" s="444" t="n"/>
      <c r="I124" s="444" t="n"/>
      <c r="J124" s="341" t="n"/>
      <c r="K124" s="485" t="n"/>
      <c r="L124" s="486" t="n"/>
      <c r="M124" s="487" t="n"/>
      <c r="N124" s="488">
        <f>ROUND(18.8*0.7,2)</f>
        <v/>
      </c>
      <c r="O124" s="447" t="n"/>
      <c r="P124" s="447" t="n"/>
      <c r="Q124" s="447" t="n"/>
      <c r="R124" s="447" t="n"/>
      <c r="S124" s="447" t="n"/>
      <c r="T124" s="447" t="n"/>
      <c r="U124" s="448" t="n"/>
      <c r="V124" s="489">
        <f>AA124+AB125</f>
        <v/>
      </c>
      <c r="W124" s="444" t="n"/>
      <c r="X124" s="444" t="n"/>
      <c r="Y124" s="444" t="n"/>
      <c r="Z124" s="341" t="n"/>
      <c r="AA124" s="490" t="n">
        <v>2966</v>
      </c>
      <c r="AB124" s="490" t="n"/>
      <c r="AC124" s="489">
        <f>AF124+AG125</f>
        <v/>
      </c>
      <c r="AD124" s="444" t="n"/>
      <c r="AE124" s="341" t="n"/>
      <c r="AF124" s="490">
        <f>N124*AA124</f>
        <v/>
      </c>
      <c r="AG124" s="491" t="n"/>
      <c r="AH124" s="470" t="n"/>
      <c r="AI124" s="471" t="n"/>
      <c r="AJ124" s="472" t="n"/>
      <c r="AK124" s="470" t="n"/>
      <c r="AL124" s="471" t="n"/>
      <c r="AM124" s="471" t="n"/>
      <c r="AN124" s="471" t="n"/>
      <c r="AO124" s="471" t="n"/>
      <c r="AP124" s="471" t="n"/>
      <c r="AQ124" s="471" t="n"/>
      <c r="AR124" s="471" t="n"/>
    </row>
    <row r="125" ht="20.25" customHeight="1" s="285">
      <c r="A125" s="492" t="n"/>
      <c r="B125" s="493" t="n"/>
      <c r="C125" s="494" t="inlineStr">
        <is>
          <t>Витражный блок Вн-20 (3900х4820 мм)</t>
        </is>
      </c>
      <c r="D125" s="444" t="n"/>
      <c r="E125" s="444" t="n"/>
      <c r="F125" s="444" t="n"/>
      <c r="G125" s="444" t="n"/>
      <c r="H125" s="444" t="n"/>
      <c r="I125" s="444" t="n"/>
      <c r="J125" s="341" t="n"/>
      <c r="K125" s="495" t="n"/>
      <c r="L125" s="496" t="inlineStr">
        <is>
          <t>м2</t>
        </is>
      </c>
      <c r="M125" s="497" t="n"/>
      <c r="N125" s="449" t="n"/>
      <c r="O125" s="450" t="n"/>
      <c r="P125" s="450" t="n"/>
      <c r="Q125" s="450" t="n"/>
      <c r="R125" s="450" t="n"/>
      <c r="S125" s="450" t="n"/>
      <c r="T125" s="450" t="n"/>
      <c r="U125" s="451" t="n"/>
      <c r="V125" s="498" t="n"/>
      <c r="W125" s="444" t="n"/>
      <c r="X125" s="444" t="n"/>
      <c r="Y125" s="444" t="n"/>
      <c r="Z125" s="341" t="n"/>
      <c r="AA125" s="499" t="n"/>
      <c r="AB125" s="499" t="n">
        <v>19734.44</v>
      </c>
      <c r="AC125" s="498" t="n"/>
      <c r="AD125" s="444" t="n"/>
      <c r="AE125" s="341" t="n"/>
      <c r="AF125" s="499" t="n"/>
      <c r="AG125" s="500">
        <f>AB125*N124</f>
        <v/>
      </c>
      <c r="AH125" s="470" t="n"/>
      <c r="AI125" s="471" t="n"/>
      <c r="AJ125" s="472" t="n"/>
      <c r="AK125" s="470" t="n"/>
      <c r="AL125" s="471" t="n"/>
      <c r="AM125" s="471" t="n"/>
      <c r="AN125" s="471" t="n"/>
      <c r="AO125" s="471" t="n"/>
      <c r="AP125" s="471" t="n"/>
      <c r="AQ125" s="471" t="n"/>
      <c r="AR125" s="471" t="n"/>
    </row>
    <row r="126" ht="80" customHeight="1" s="285">
      <c r="A126" s="483" t="n">
        <v>7</v>
      </c>
      <c r="B126" s="484" t="inlineStr">
        <is>
          <t>Изготовление и монтаж витража Вн-21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26" s="444" t="n"/>
      <c r="D126" s="444" t="n"/>
      <c r="E126" s="444" t="n"/>
      <c r="F126" s="444" t="n"/>
      <c r="G126" s="444" t="n"/>
      <c r="H126" s="444" t="n"/>
      <c r="I126" s="444" t="n"/>
      <c r="J126" s="341" t="n"/>
      <c r="K126" s="485" t="n"/>
      <c r="L126" s="486" t="n"/>
      <c r="M126" s="487" t="n"/>
      <c r="N126" s="488">
        <f>ROUND(14.07*0.7,2)</f>
        <v/>
      </c>
      <c r="O126" s="447" t="n"/>
      <c r="P126" s="447" t="n"/>
      <c r="Q126" s="447" t="n"/>
      <c r="R126" s="447" t="n"/>
      <c r="S126" s="447" t="n"/>
      <c r="T126" s="447" t="n"/>
      <c r="U126" s="448" t="n"/>
      <c r="V126" s="489">
        <f>AA126+AB127</f>
        <v/>
      </c>
      <c r="W126" s="444" t="n"/>
      <c r="X126" s="444" t="n"/>
      <c r="Y126" s="444" t="n"/>
      <c r="Z126" s="341" t="n"/>
      <c r="AA126" s="490" t="n">
        <v>2966</v>
      </c>
      <c r="AB126" s="490" t="n"/>
      <c r="AC126" s="489">
        <f>AF126+AG127</f>
        <v/>
      </c>
      <c r="AD126" s="444" t="n"/>
      <c r="AE126" s="341" t="n"/>
      <c r="AF126" s="490">
        <f>N126*AA126</f>
        <v/>
      </c>
      <c r="AG126" s="491" t="n"/>
      <c r="AH126" s="470" t="n"/>
      <c r="AI126" s="471" t="n"/>
      <c r="AJ126" s="472" t="n"/>
      <c r="AK126" s="470" t="n"/>
      <c r="AL126" s="471" t="n"/>
      <c r="AM126" s="471" t="n"/>
      <c r="AN126" s="471" t="n"/>
      <c r="AO126" s="471" t="n"/>
      <c r="AP126" s="471" t="n"/>
      <c r="AQ126" s="471" t="n"/>
      <c r="AR126" s="471" t="n"/>
    </row>
    <row r="127" ht="20.25" customHeight="1" s="285">
      <c r="A127" s="492" t="n"/>
      <c r="B127" s="493" t="n"/>
      <c r="C127" s="494" t="inlineStr">
        <is>
          <t>Витражный блок Вн-21 (2920х4820 мм)</t>
        </is>
      </c>
      <c r="D127" s="444" t="n"/>
      <c r="E127" s="444" t="n"/>
      <c r="F127" s="444" t="n"/>
      <c r="G127" s="444" t="n"/>
      <c r="H127" s="444" t="n"/>
      <c r="I127" s="444" t="n"/>
      <c r="J127" s="341" t="n"/>
      <c r="K127" s="495" t="n"/>
      <c r="L127" s="496" t="inlineStr">
        <is>
          <t>м2</t>
        </is>
      </c>
      <c r="M127" s="497" t="n"/>
      <c r="N127" s="449" t="n"/>
      <c r="O127" s="450" t="n"/>
      <c r="P127" s="450" t="n"/>
      <c r="Q127" s="450" t="n"/>
      <c r="R127" s="450" t="n"/>
      <c r="S127" s="450" t="n"/>
      <c r="T127" s="450" t="n"/>
      <c r="U127" s="451" t="n"/>
      <c r="V127" s="498" t="n"/>
      <c r="W127" s="444" t="n"/>
      <c r="X127" s="444" t="n"/>
      <c r="Y127" s="444" t="n"/>
      <c r="Z127" s="341" t="n"/>
      <c r="AA127" s="499" t="n"/>
      <c r="AB127" s="499" t="n">
        <v>19734.44</v>
      </c>
      <c r="AC127" s="498" t="n"/>
      <c r="AD127" s="444" t="n"/>
      <c r="AE127" s="341" t="n"/>
      <c r="AF127" s="499" t="n"/>
      <c r="AG127" s="500">
        <f>AB127*N126</f>
        <v/>
      </c>
      <c r="AH127" s="470" t="n"/>
      <c r="AI127" s="471" t="n"/>
      <c r="AJ127" s="472" t="n"/>
      <c r="AK127" s="470" t="n"/>
      <c r="AL127" s="471" t="n"/>
      <c r="AM127" s="471" t="n"/>
      <c r="AN127" s="471" t="n"/>
      <c r="AO127" s="471" t="n"/>
      <c r="AP127" s="471" t="n"/>
      <c r="AQ127" s="471" t="n"/>
      <c r="AR127" s="471" t="n"/>
    </row>
    <row r="128" ht="80" customHeight="1" s="285">
      <c r="A128" s="483" t="n">
        <v>8</v>
      </c>
      <c r="B128" s="484" t="inlineStr">
        <is>
          <t>Изготовление и монтаж витража Вн-22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28" s="444" t="n"/>
      <c r="D128" s="444" t="n"/>
      <c r="E128" s="444" t="n"/>
      <c r="F128" s="444" t="n"/>
      <c r="G128" s="444" t="n"/>
      <c r="H128" s="444" t="n"/>
      <c r="I128" s="444" t="n"/>
      <c r="J128" s="341" t="n"/>
      <c r="K128" s="485" t="n"/>
      <c r="L128" s="486" t="n"/>
      <c r="M128" s="487" t="n"/>
      <c r="N128" s="488">
        <f>ROUND(23.39*0.7,2)</f>
        <v/>
      </c>
      <c r="O128" s="447" t="n"/>
      <c r="P128" s="447" t="n"/>
      <c r="Q128" s="447" t="n"/>
      <c r="R128" s="447" t="n"/>
      <c r="S128" s="447" t="n"/>
      <c r="T128" s="447" t="n"/>
      <c r="U128" s="448" t="n"/>
      <c r="V128" s="489">
        <f>AA128+AB129</f>
        <v/>
      </c>
      <c r="W128" s="444" t="n"/>
      <c r="X128" s="444" t="n"/>
      <c r="Y128" s="444" t="n"/>
      <c r="Z128" s="341" t="n"/>
      <c r="AA128" s="490" t="n">
        <v>2966</v>
      </c>
      <c r="AB128" s="490" t="n"/>
      <c r="AC128" s="489">
        <f>AF128+AG129</f>
        <v/>
      </c>
      <c r="AD128" s="444" t="n"/>
      <c r="AE128" s="341" t="n"/>
      <c r="AF128" s="490">
        <f>N128*AA128</f>
        <v/>
      </c>
      <c r="AG128" s="491" t="n"/>
      <c r="AH128" s="470" t="n"/>
      <c r="AI128" s="471" t="n"/>
      <c r="AJ128" s="472" t="n"/>
      <c r="AK128" s="470" t="n"/>
      <c r="AL128" s="471" t="n"/>
      <c r="AM128" s="471" t="n"/>
      <c r="AN128" s="471" t="n"/>
      <c r="AO128" s="471" t="n"/>
      <c r="AP128" s="471" t="n"/>
      <c r="AQ128" s="471" t="n"/>
      <c r="AR128" s="471" t="n"/>
    </row>
    <row r="129" ht="20.25" customHeight="1" s="285">
      <c r="A129" s="492" t="n"/>
      <c r="B129" s="493" t="n"/>
      <c r="C129" s="494" t="inlineStr">
        <is>
          <t>Витражный блок Вн-22 (2150х2720 мм)</t>
        </is>
      </c>
      <c r="D129" s="444" t="n"/>
      <c r="E129" s="444" t="n"/>
      <c r="F129" s="444" t="n"/>
      <c r="G129" s="444" t="n"/>
      <c r="H129" s="444" t="n"/>
      <c r="I129" s="444" t="n"/>
      <c r="J129" s="341" t="n"/>
      <c r="K129" s="495" t="n"/>
      <c r="L129" s="496" t="inlineStr">
        <is>
          <t>м2</t>
        </is>
      </c>
      <c r="M129" s="497" t="n"/>
      <c r="N129" s="449" t="n"/>
      <c r="O129" s="450" t="n"/>
      <c r="P129" s="450" t="n"/>
      <c r="Q129" s="450" t="n"/>
      <c r="R129" s="450" t="n"/>
      <c r="S129" s="450" t="n"/>
      <c r="T129" s="450" t="n"/>
      <c r="U129" s="451" t="n"/>
      <c r="V129" s="498" t="n"/>
      <c r="W129" s="444" t="n"/>
      <c r="X129" s="444" t="n"/>
      <c r="Y129" s="444" t="n"/>
      <c r="Z129" s="341" t="n"/>
      <c r="AA129" s="499" t="n"/>
      <c r="AB129" s="499" t="n">
        <v>19734.44</v>
      </c>
      <c r="AC129" s="498" t="n"/>
      <c r="AD129" s="444" t="n"/>
      <c r="AE129" s="341" t="n"/>
      <c r="AF129" s="499" t="n"/>
      <c r="AG129" s="500">
        <f>AB129*N128</f>
        <v/>
      </c>
      <c r="AH129" s="470" t="n"/>
      <c r="AI129" s="471" t="n"/>
      <c r="AJ129" s="472" t="n"/>
      <c r="AK129" s="470" t="n"/>
      <c r="AL129" s="471" t="n"/>
      <c r="AM129" s="471" t="n"/>
      <c r="AN129" s="471" t="n"/>
      <c r="AO129" s="471" t="n"/>
      <c r="AP129" s="471" t="n"/>
      <c r="AQ129" s="471" t="n"/>
      <c r="AR129" s="471" t="n"/>
    </row>
    <row r="130" ht="15.75" customFormat="1" customHeight="1" s="58">
      <c r="A130" s="473" t="n"/>
      <c r="B130" s="474" t="inlineStr">
        <is>
          <t>Двери наружные входные</t>
        </is>
      </c>
      <c r="C130" s="475" t="n"/>
      <c r="D130" s="475" t="n"/>
      <c r="E130" s="475" t="n"/>
      <c r="F130" s="475" t="n"/>
      <c r="G130" s="475" t="n"/>
      <c r="H130" s="475" t="n"/>
      <c r="I130" s="475" t="n"/>
      <c r="J130" s="475" t="n"/>
      <c r="K130" s="476" t="n"/>
      <c r="L130" s="477" t="n"/>
      <c r="M130" s="477" t="n"/>
      <c r="N130" s="478" t="n"/>
      <c r="O130" s="478" t="n"/>
      <c r="P130" s="478" t="n"/>
      <c r="Q130" s="479" t="n"/>
      <c r="R130" s="479" t="n"/>
      <c r="S130" s="479" t="n"/>
      <c r="T130" s="479" t="n"/>
      <c r="U130" s="479" t="n"/>
      <c r="V130" s="480" t="n"/>
      <c r="W130" s="480" t="n"/>
      <c r="X130" s="480" t="n"/>
      <c r="Y130" s="480" t="n"/>
      <c r="Z130" s="480" t="n"/>
      <c r="AA130" s="480" t="n"/>
      <c r="AB130" s="480" t="n"/>
      <c r="AC130" s="481" t="n"/>
      <c r="AD130" s="481" t="n"/>
      <c r="AE130" s="481" t="n"/>
      <c r="AF130" s="481" t="n"/>
      <c r="AG130" s="482" t="n"/>
      <c r="AH130" s="470" t="n"/>
      <c r="AI130" s="471" t="n"/>
      <c r="AJ130" s="472" t="n"/>
      <c r="AK130" s="470" t="n"/>
      <c r="AL130" s="471" t="n"/>
      <c r="AM130" s="471" t="n"/>
      <c r="AN130" s="471" t="n"/>
      <c r="AO130" s="471" t="n"/>
      <c r="AP130" s="471" t="n"/>
      <c r="AQ130" s="471" t="n"/>
      <c r="AR130" s="471" t="n"/>
    </row>
    <row r="131" ht="63" customHeight="1" s="285">
      <c r="A131" s="483" t="n">
        <v>9</v>
      </c>
      <c r="B131" s="484" t="inlineStr">
        <is>
          <t>Изготовление и монтаж дверных блоков входных двупольных Д17*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</t>
        </is>
      </c>
      <c r="C131" s="444" t="n"/>
      <c r="D131" s="444" t="n"/>
      <c r="E131" s="444" t="n"/>
      <c r="F131" s="444" t="n"/>
      <c r="G131" s="444" t="n"/>
      <c r="H131" s="444" t="n"/>
      <c r="I131" s="444" t="n"/>
      <c r="J131" s="341" t="n"/>
      <c r="K131" s="485" t="n"/>
      <c r="L131" s="486" t="n"/>
      <c r="M131" s="487" t="n"/>
      <c r="N131" s="488">
        <f>ROUND(9.4*0.7,2)</f>
        <v/>
      </c>
      <c r="O131" s="447" t="n"/>
      <c r="P131" s="447" t="n"/>
      <c r="Q131" s="447" t="n"/>
      <c r="R131" s="447" t="n"/>
      <c r="S131" s="447" t="n"/>
      <c r="T131" s="447" t="n"/>
      <c r="U131" s="448" t="n"/>
      <c r="V131" s="489">
        <f>AA131+AB132</f>
        <v/>
      </c>
      <c r="W131" s="444" t="n"/>
      <c r="X131" s="444" t="n"/>
      <c r="Y131" s="444" t="n"/>
      <c r="Z131" s="341" t="n"/>
      <c r="AA131" s="490" t="n">
        <v>2966</v>
      </c>
      <c r="AB131" s="490" t="n"/>
      <c r="AC131" s="489">
        <f>AF131+AG132</f>
        <v/>
      </c>
      <c r="AD131" s="444" t="n"/>
      <c r="AE131" s="341" t="n"/>
      <c r="AF131" s="490">
        <f>N131*AA131</f>
        <v/>
      </c>
      <c r="AG131" s="491" t="n"/>
      <c r="AH131" s="470" t="n"/>
      <c r="AI131" s="471" t="n"/>
      <c r="AJ131" s="472" t="n"/>
      <c r="AK131" s="470" t="n"/>
      <c r="AL131" s="471" t="n"/>
      <c r="AM131" s="471" t="n"/>
      <c r="AN131" s="471" t="n"/>
      <c r="AO131" s="471" t="n"/>
      <c r="AP131" s="471" t="n"/>
      <c r="AQ131" s="471" t="n"/>
      <c r="AR131" s="471" t="n"/>
    </row>
    <row r="132" ht="20.25" customHeight="1" s="285">
      <c r="A132" s="492" t="n"/>
      <c r="B132" s="493" t="n"/>
      <c r="C132" s="494" t="inlineStr">
        <is>
          <t>Дверной блок наружный  ДНМО 2410х1300 П</t>
        </is>
      </c>
      <c r="D132" s="444" t="n"/>
      <c r="E132" s="444" t="n"/>
      <c r="F132" s="444" t="n"/>
      <c r="G132" s="444" t="n"/>
      <c r="H132" s="444" t="n"/>
      <c r="I132" s="444" t="n"/>
      <c r="J132" s="341" t="n"/>
      <c r="K132" s="495" t="n"/>
      <c r="L132" s="496" t="inlineStr">
        <is>
          <t>м2</t>
        </is>
      </c>
      <c r="M132" s="497" t="n"/>
      <c r="N132" s="449" t="n"/>
      <c r="O132" s="450" t="n"/>
      <c r="P132" s="450" t="n"/>
      <c r="Q132" s="450" t="n"/>
      <c r="R132" s="450" t="n"/>
      <c r="S132" s="450" t="n"/>
      <c r="T132" s="450" t="n"/>
      <c r="U132" s="451" t="n"/>
      <c r="V132" s="498" t="n"/>
      <c r="W132" s="444" t="n"/>
      <c r="X132" s="444" t="n"/>
      <c r="Y132" s="444" t="n"/>
      <c r="Z132" s="341" t="n"/>
      <c r="AA132" s="499" t="n"/>
      <c r="AB132" s="499" t="n">
        <v>19734.44</v>
      </c>
      <c r="AC132" s="498" t="n"/>
      <c r="AD132" s="444" t="n"/>
      <c r="AE132" s="341" t="n"/>
      <c r="AF132" s="499" t="n"/>
      <c r="AG132" s="500">
        <f>AB132*N131</f>
        <v/>
      </c>
      <c r="AH132" s="470" t="n"/>
      <c r="AI132" s="471" t="n"/>
      <c r="AJ132" s="472" t="n"/>
      <c r="AK132" s="470" t="n"/>
      <c r="AL132" s="471" t="n"/>
      <c r="AM132" s="471" t="n"/>
      <c r="AN132" s="471" t="n"/>
      <c r="AO132" s="471" t="n"/>
      <c r="AP132" s="471" t="n"/>
      <c r="AQ132" s="471" t="n"/>
      <c r="AR132" s="471" t="n"/>
    </row>
    <row r="133" ht="63" customHeight="1" s="285">
      <c r="A133" s="483" t="n">
        <v>10</v>
      </c>
      <c r="B133" s="484" t="inlineStr">
        <is>
          <t xml:space="preserve">Изготовление и монтаж дверных блоков входных однопольныхД18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33" s="444" t="n"/>
      <c r="D133" s="444" t="n"/>
      <c r="E133" s="444" t="n"/>
      <c r="F133" s="444" t="n"/>
      <c r="G133" s="444" t="n"/>
      <c r="H133" s="444" t="n"/>
      <c r="I133" s="444" t="n"/>
      <c r="J133" s="341" t="n"/>
      <c r="K133" s="485" t="n"/>
      <c r="L133" s="486" t="n"/>
      <c r="M133" s="487" t="n"/>
      <c r="N133" s="488">
        <f>ROUND(2.1*0.7,2)</f>
        <v/>
      </c>
      <c r="O133" s="447" t="n"/>
      <c r="P133" s="447" t="n"/>
      <c r="Q133" s="447" t="n"/>
      <c r="R133" s="447" t="n"/>
      <c r="S133" s="447" t="n"/>
      <c r="T133" s="447" t="n"/>
      <c r="U133" s="448" t="n"/>
      <c r="V133" s="489">
        <f>AA133+AB134</f>
        <v/>
      </c>
      <c r="W133" s="444" t="n"/>
      <c r="X133" s="444" t="n"/>
      <c r="Y133" s="444" t="n"/>
      <c r="Z133" s="341" t="n"/>
      <c r="AA133" s="490" t="n">
        <v>2966</v>
      </c>
      <c r="AB133" s="490" t="n"/>
      <c r="AC133" s="489">
        <f>AF133+AG134</f>
        <v/>
      </c>
      <c r="AD133" s="444" t="n"/>
      <c r="AE133" s="341" t="n"/>
      <c r="AF133" s="490">
        <f>N133*AA133</f>
        <v/>
      </c>
      <c r="AG133" s="491" t="n"/>
      <c r="AH133" s="470" t="n"/>
      <c r="AI133" s="471" t="n"/>
      <c r="AJ133" s="472" t="n"/>
      <c r="AK133" s="470" t="n"/>
      <c r="AL133" s="471" t="n"/>
      <c r="AM133" s="471" t="n"/>
      <c r="AN133" s="471" t="n"/>
      <c r="AO133" s="471" t="n"/>
      <c r="AP133" s="471" t="n"/>
      <c r="AQ133" s="471" t="n"/>
      <c r="AR133" s="471" t="n"/>
    </row>
    <row r="134" ht="20.25" customHeight="1" s="285">
      <c r="A134" s="492" t="n"/>
      <c r="B134" s="493" t="n"/>
      <c r="C134" s="494" t="inlineStr">
        <is>
          <t>Дверной блок наружный ДМН 2100х1000 П</t>
        </is>
      </c>
      <c r="D134" s="444" t="n"/>
      <c r="E134" s="444" t="n"/>
      <c r="F134" s="444" t="n"/>
      <c r="G134" s="444" t="n"/>
      <c r="H134" s="444" t="n"/>
      <c r="I134" s="444" t="n"/>
      <c r="J134" s="341" t="n"/>
      <c r="K134" s="495" t="n"/>
      <c r="L134" s="496" t="inlineStr">
        <is>
          <t>м2</t>
        </is>
      </c>
      <c r="M134" s="497" t="n"/>
      <c r="N134" s="449" t="n"/>
      <c r="O134" s="450" t="n"/>
      <c r="P134" s="450" t="n"/>
      <c r="Q134" s="450" t="n"/>
      <c r="R134" s="450" t="n"/>
      <c r="S134" s="450" t="n"/>
      <c r="T134" s="450" t="n"/>
      <c r="U134" s="451" t="n"/>
      <c r="V134" s="498" t="n"/>
      <c r="W134" s="444" t="n"/>
      <c r="X134" s="444" t="n"/>
      <c r="Y134" s="444" t="n"/>
      <c r="Z134" s="341" t="n"/>
      <c r="AA134" s="499" t="n"/>
      <c r="AB134" s="499" t="n">
        <v>19734.44</v>
      </c>
      <c r="AC134" s="498" t="n"/>
      <c r="AD134" s="444" t="n"/>
      <c r="AE134" s="341" t="n"/>
      <c r="AF134" s="499" t="n"/>
      <c r="AG134" s="500">
        <f>AB134*N133</f>
        <v/>
      </c>
      <c r="AH134" s="470" t="n"/>
      <c r="AI134" s="471" t="n"/>
      <c r="AJ134" s="472" t="n"/>
      <c r="AK134" s="470" t="n"/>
      <c r="AL134" s="471" t="n"/>
      <c r="AM134" s="471" t="n"/>
      <c r="AN134" s="471" t="n"/>
      <c r="AO134" s="471" t="n"/>
      <c r="AP134" s="471" t="n"/>
      <c r="AQ134" s="471" t="n"/>
      <c r="AR134" s="471" t="n"/>
    </row>
    <row r="135" ht="63" customHeight="1" s="285">
      <c r="A135" s="483" t="n">
        <v>11</v>
      </c>
      <c r="B135" s="484" t="inlineStr">
        <is>
          <t xml:space="preserve">Изготовление и монтаж дверных блоков входных двупольных Д22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35" s="444" t="n"/>
      <c r="D135" s="444" t="n"/>
      <c r="E135" s="444" t="n"/>
      <c r="F135" s="444" t="n"/>
      <c r="G135" s="444" t="n"/>
      <c r="H135" s="444" t="n"/>
      <c r="I135" s="444" t="n"/>
      <c r="J135" s="341" t="n"/>
      <c r="K135" s="485" t="n"/>
      <c r="L135" s="486" t="n"/>
      <c r="M135" s="487" t="n"/>
      <c r="N135" s="488">
        <f>ROUND(2.73*0.7,2)</f>
        <v/>
      </c>
      <c r="O135" s="447" t="n"/>
      <c r="P135" s="447" t="n"/>
      <c r="Q135" s="447" t="n"/>
      <c r="R135" s="447" t="n"/>
      <c r="S135" s="447" t="n"/>
      <c r="T135" s="447" t="n"/>
      <c r="U135" s="448" t="n"/>
      <c r="V135" s="489">
        <f>AA135+AB136</f>
        <v/>
      </c>
      <c r="W135" s="444" t="n"/>
      <c r="X135" s="444" t="n"/>
      <c r="Y135" s="444" t="n"/>
      <c r="Z135" s="341" t="n"/>
      <c r="AA135" s="490" t="n">
        <v>2966</v>
      </c>
      <c r="AB135" s="490" t="n"/>
      <c r="AC135" s="489">
        <f>AF135+AG136</f>
        <v/>
      </c>
      <c r="AD135" s="444" t="n"/>
      <c r="AE135" s="341" t="n"/>
      <c r="AF135" s="490">
        <f>N135*AA135</f>
        <v/>
      </c>
      <c r="AG135" s="491" t="n"/>
      <c r="AH135" s="470" t="n"/>
      <c r="AI135" s="471" t="n"/>
      <c r="AJ135" s="472" t="n"/>
      <c r="AK135" s="470" t="n"/>
      <c r="AL135" s="471" t="n"/>
      <c r="AM135" s="471" t="n"/>
      <c r="AN135" s="471" t="n"/>
      <c r="AO135" s="471" t="n"/>
      <c r="AP135" s="471" t="n"/>
      <c r="AQ135" s="471" t="n"/>
      <c r="AR135" s="471" t="n"/>
    </row>
    <row r="136" ht="20.25" customHeight="1" s="285">
      <c r="A136" s="492" t="n"/>
      <c r="B136" s="493" t="n"/>
      <c r="C136" s="494" t="inlineStr">
        <is>
          <t>Дверной блок наружный  ДМНО 2100х1300 П</t>
        </is>
      </c>
      <c r="D136" s="444" t="n"/>
      <c r="E136" s="444" t="n"/>
      <c r="F136" s="444" t="n"/>
      <c r="G136" s="444" t="n"/>
      <c r="H136" s="444" t="n"/>
      <c r="I136" s="444" t="n"/>
      <c r="J136" s="341" t="n"/>
      <c r="K136" s="495" t="n"/>
      <c r="L136" s="496" t="inlineStr">
        <is>
          <t>м2</t>
        </is>
      </c>
      <c r="M136" s="497" t="n"/>
      <c r="N136" s="449" t="n"/>
      <c r="O136" s="450" t="n"/>
      <c r="P136" s="450" t="n"/>
      <c r="Q136" s="450" t="n"/>
      <c r="R136" s="450" t="n"/>
      <c r="S136" s="450" t="n"/>
      <c r="T136" s="450" t="n"/>
      <c r="U136" s="451" t="n"/>
      <c r="V136" s="498" t="n"/>
      <c r="W136" s="444" t="n"/>
      <c r="X136" s="444" t="n"/>
      <c r="Y136" s="444" t="n"/>
      <c r="Z136" s="341" t="n"/>
      <c r="AA136" s="499" t="n"/>
      <c r="AB136" s="499" t="n">
        <v>19734.44</v>
      </c>
      <c r="AC136" s="498" t="n"/>
      <c r="AD136" s="444" t="n"/>
      <c r="AE136" s="341" t="n"/>
      <c r="AF136" s="499" t="n"/>
      <c r="AG136" s="500">
        <f>AB136*N135</f>
        <v/>
      </c>
      <c r="AH136" s="470" t="n"/>
      <c r="AI136" s="471" t="n"/>
      <c r="AJ136" s="472" t="n"/>
      <c r="AK136" s="470" t="n"/>
      <c r="AL136" s="471" t="n"/>
      <c r="AM136" s="471" t="n"/>
      <c r="AN136" s="471" t="n"/>
      <c r="AO136" s="471" t="n"/>
      <c r="AP136" s="471" t="n"/>
      <c r="AQ136" s="471" t="n"/>
      <c r="AR136" s="471" t="n"/>
    </row>
    <row r="137" ht="63" customFormat="1" customHeight="1" s="6">
      <c r="A137" s="483" t="n">
        <v>12</v>
      </c>
      <c r="B137" s="484" t="inlineStr">
        <is>
          <t xml:space="preserve">Изготовление и монтаж дверных блоков входных однопольных Д35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37" s="444" t="n"/>
      <c r="D137" s="444" t="n"/>
      <c r="E137" s="444" t="n"/>
      <c r="F137" s="444" t="n"/>
      <c r="G137" s="444" t="n"/>
      <c r="H137" s="444" t="n"/>
      <c r="I137" s="444" t="n"/>
      <c r="J137" s="341" t="n"/>
      <c r="K137" s="485" t="n"/>
      <c r="L137" s="486" t="n"/>
      <c r="M137" s="487" t="n"/>
      <c r="N137" s="488">
        <f>ROUND(9.4*0.7,2)</f>
        <v/>
      </c>
      <c r="O137" s="447" t="n"/>
      <c r="P137" s="447" t="n"/>
      <c r="Q137" s="447" t="n"/>
      <c r="R137" s="447" t="n"/>
      <c r="S137" s="447" t="n"/>
      <c r="T137" s="447" t="n"/>
      <c r="U137" s="448" t="n"/>
      <c r="V137" s="489">
        <f>AA137+AB138</f>
        <v/>
      </c>
      <c r="W137" s="444" t="n"/>
      <c r="X137" s="444" t="n"/>
      <c r="Y137" s="444" t="n"/>
      <c r="Z137" s="341" t="n"/>
      <c r="AA137" s="490" t="n">
        <v>2966</v>
      </c>
      <c r="AB137" s="490" t="n"/>
      <c r="AC137" s="489">
        <f>AF137+AG138</f>
        <v/>
      </c>
      <c r="AD137" s="444" t="n"/>
      <c r="AE137" s="341" t="n"/>
      <c r="AF137" s="490">
        <f>N137*AA137</f>
        <v/>
      </c>
      <c r="AG137" s="491" t="n"/>
      <c r="AH137" s="470" t="n"/>
      <c r="AI137" s="471" t="n"/>
      <c r="AJ137" s="472" t="n"/>
      <c r="AK137" s="470" t="n"/>
      <c r="AL137" s="471" t="n"/>
      <c r="AM137" s="471" t="n"/>
      <c r="AN137" s="471" t="n"/>
      <c r="AO137" s="471" t="n"/>
      <c r="AP137" s="471" t="n"/>
      <c r="AQ137" s="471" t="n"/>
      <c r="AR137" s="471" t="n"/>
    </row>
    <row r="138" ht="20.25" customFormat="1" customHeight="1" s="6">
      <c r="A138" s="492" t="n"/>
      <c r="B138" s="493" t="n"/>
      <c r="C138" s="494" t="inlineStr">
        <is>
          <t>Дверной блок наружный  ДНМО 2410х1300 Л</t>
        </is>
      </c>
      <c r="D138" s="444" t="n"/>
      <c r="E138" s="444" t="n"/>
      <c r="F138" s="444" t="n"/>
      <c r="G138" s="444" t="n"/>
      <c r="H138" s="444" t="n"/>
      <c r="I138" s="444" t="n"/>
      <c r="J138" s="341" t="n"/>
      <c r="K138" s="495" t="n"/>
      <c r="L138" s="496" t="inlineStr">
        <is>
          <t>м2</t>
        </is>
      </c>
      <c r="M138" s="497" t="n"/>
      <c r="N138" s="449" t="n"/>
      <c r="O138" s="450" t="n"/>
      <c r="P138" s="450" t="n"/>
      <c r="Q138" s="450" t="n"/>
      <c r="R138" s="450" t="n"/>
      <c r="S138" s="450" t="n"/>
      <c r="T138" s="450" t="n"/>
      <c r="U138" s="451" t="n"/>
      <c r="V138" s="498" t="n"/>
      <c r="W138" s="444" t="n"/>
      <c r="X138" s="444" t="n"/>
      <c r="Y138" s="444" t="n"/>
      <c r="Z138" s="341" t="n"/>
      <c r="AA138" s="499" t="n"/>
      <c r="AB138" s="499" t="n">
        <v>19734.44</v>
      </c>
      <c r="AC138" s="498" t="n"/>
      <c r="AD138" s="444" t="n"/>
      <c r="AE138" s="341" t="n"/>
      <c r="AF138" s="499" t="n"/>
      <c r="AG138" s="500">
        <f>AB138*N137</f>
        <v/>
      </c>
      <c r="AH138" s="470" t="n"/>
      <c r="AI138" s="471" t="n"/>
      <c r="AJ138" s="472" t="n"/>
      <c r="AK138" s="470" t="n"/>
      <c r="AL138" s="471" t="n"/>
      <c r="AM138" s="471" t="n"/>
      <c r="AN138" s="471" t="n"/>
      <c r="AO138" s="471" t="n"/>
      <c r="AP138" s="471" t="n"/>
      <c r="AQ138" s="471" t="n"/>
      <c r="AR138" s="471" t="n"/>
    </row>
    <row r="139" hidden="1" outlineLevel="1" ht="63" customFormat="1" customHeight="1" s="6">
      <c r="A139" s="483" t="n">
        <v>13</v>
      </c>
      <c r="B139" s="484" t="inlineStr">
        <is>
          <t xml:space="preserve">Изготовление и монтаж дверных блоков входных однопольных Д37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39" s="444" t="n"/>
      <c r="D139" s="444" t="n"/>
      <c r="E139" s="444" t="n"/>
      <c r="F139" s="444" t="n"/>
      <c r="G139" s="444" t="n"/>
      <c r="H139" s="444" t="n"/>
      <c r="I139" s="444" t="n"/>
      <c r="J139" s="341" t="n"/>
      <c r="K139" s="485" t="n"/>
      <c r="L139" s="486" t="n"/>
      <c r="M139" s="487" t="n"/>
      <c r="N139" s="488">
        <f>ROUND(2.94*0.7,2)</f>
        <v/>
      </c>
      <c r="O139" s="447" t="n"/>
      <c r="P139" s="447" t="n"/>
      <c r="Q139" s="447" t="n"/>
      <c r="R139" s="447" t="n"/>
      <c r="S139" s="447" t="n"/>
      <c r="T139" s="447" t="n"/>
      <c r="U139" s="448" t="n"/>
      <c r="V139" s="489">
        <f>AA139+AB140</f>
        <v/>
      </c>
      <c r="W139" s="444" t="n"/>
      <c r="X139" s="444" t="n"/>
      <c r="Y139" s="444" t="n"/>
      <c r="Z139" s="341" t="n"/>
      <c r="AA139" s="490" t="n">
        <v>2966</v>
      </c>
      <c r="AB139" s="490" t="n"/>
      <c r="AC139" s="489">
        <f>AF139+AG140</f>
        <v/>
      </c>
      <c r="AD139" s="444" t="n"/>
      <c r="AE139" s="341" t="n"/>
      <c r="AF139" s="490">
        <f>N139*AA139</f>
        <v/>
      </c>
      <c r="AG139" s="491" t="n"/>
      <c r="AH139" s="470" t="n"/>
      <c r="AI139" s="471" t="n"/>
      <c r="AJ139" s="472" t="n"/>
      <c r="AK139" s="470" t="n"/>
      <c r="AL139" s="471" t="n"/>
      <c r="AM139" s="471" t="n"/>
      <c r="AN139" s="471" t="n"/>
      <c r="AO139" s="471" t="n"/>
      <c r="AP139" s="471" t="n"/>
      <c r="AQ139" s="471" t="n"/>
      <c r="AR139" s="471" t="n"/>
    </row>
    <row r="140" hidden="1" outlineLevel="1" ht="20.25" customFormat="1" customHeight="1" s="6">
      <c r="A140" s="492" t="n"/>
      <c r="B140" s="493" t="n"/>
      <c r="C140" s="494" t="inlineStr">
        <is>
          <t>Дверной блок наружный  ДМНО 2100х1400 Л</t>
        </is>
      </c>
      <c r="D140" s="444" t="n"/>
      <c r="E140" s="444" t="n"/>
      <c r="F140" s="444" t="n"/>
      <c r="G140" s="444" t="n"/>
      <c r="H140" s="444" t="n"/>
      <c r="I140" s="444" t="n"/>
      <c r="J140" s="341" t="n"/>
      <c r="K140" s="495" t="n"/>
      <c r="L140" s="496" t="inlineStr">
        <is>
          <t>м2</t>
        </is>
      </c>
      <c r="M140" s="497" t="n"/>
      <c r="N140" s="449" t="n"/>
      <c r="O140" s="450" t="n"/>
      <c r="P140" s="450" t="n"/>
      <c r="Q140" s="450" t="n"/>
      <c r="R140" s="450" t="n"/>
      <c r="S140" s="450" t="n"/>
      <c r="T140" s="450" t="n"/>
      <c r="U140" s="451" t="n"/>
      <c r="V140" s="498" t="n"/>
      <c r="W140" s="444" t="n"/>
      <c r="X140" s="444" t="n"/>
      <c r="Y140" s="444" t="n"/>
      <c r="Z140" s="341" t="n"/>
      <c r="AA140" s="499" t="n"/>
      <c r="AB140" s="499" t="n">
        <v>19734.44</v>
      </c>
      <c r="AC140" s="498" t="n"/>
      <c r="AD140" s="444" t="n"/>
      <c r="AE140" s="341" t="n"/>
      <c r="AF140" s="499" t="n"/>
      <c r="AG140" s="500">
        <f>AB140*N139</f>
        <v/>
      </c>
      <c r="AH140" s="470" t="n"/>
      <c r="AI140" s="471" t="n"/>
      <c r="AJ140" s="472" t="n"/>
      <c r="AK140" s="470" t="n"/>
      <c r="AL140" s="471" t="n"/>
      <c r="AM140" s="471" t="n"/>
      <c r="AN140" s="471" t="n"/>
      <c r="AO140" s="471" t="n"/>
      <c r="AP140" s="471" t="n"/>
      <c r="AQ140" s="471" t="n"/>
      <c r="AR140" s="471" t="n"/>
    </row>
    <row r="141" hidden="1" outlineLevel="1" ht="15.75" customFormat="1" customHeight="1" s="6">
      <c r="A141" s="462" t="n"/>
      <c r="B141" s="444" t="n"/>
      <c r="C141" s="501" t="n"/>
      <c r="D141" s="444" t="n"/>
      <c r="E141" s="444" t="n"/>
      <c r="F141" s="444" t="n"/>
      <c r="G141" s="444" t="n"/>
      <c r="H141" s="444" t="n"/>
      <c r="I141" s="444" t="n"/>
      <c r="J141" s="444" t="n"/>
      <c r="K141" s="464" t="n"/>
      <c r="L141" s="502" t="inlineStr">
        <is>
          <t>м2</t>
        </is>
      </c>
      <c r="M141" s="465" t="n"/>
      <c r="N141" s="503" t="n"/>
      <c r="O141" s="444" t="n"/>
      <c r="P141" s="444" t="n"/>
      <c r="Q141" s="467" t="n"/>
      <c r="R141" s="504">
        <f>SUM(N113:U140)</f>
        <v/>
      </c>
      <c r="S141" s="444" t="n"/>
      <c r="T141" s="444" t="n"/>
      <c r="U141" s="444" t="n"/>
      <c r="V141" s="468" t="n"/>
      <c r="W141" s="444" t="n"/>
      <c r="X141" s="444" t="n"/>
      <c r="Y141" s="444" t="n"/>
      <c r="Z141" s="444" t="n"/>
      <c r="AA141" s="468" t="n"/>
      <c r="AB141" s="468" t="n"/>
      <c r="AC141" s="505">
        <f>SUM(AC113:AE140)</f>
        <v/>
      </c>
      <c r="AD141" s="444" t="n"/>
      <c r="AE141" s="444" t="n"/>
      <c r="AF141" s="506" t="n"/>
      <c r="AG141" s="469" t="n"/>
      <c r="AH141" s="470" t="n"/>
      <c r="AI141" s="471" t="n"/>
      <c r="AJ141" s="472" t="n"/>
      <c r="AK141" s="470" t="n"/>
      <c r="AL141" s="471" t="n"/>
      <c r="AM141" s="471" t="n"/>
      <c r="AN141" s="471" t="n"/>
      <c r="AO141" s="471" t="n"/>
      <c r="AP141" s="471" t="n"/>
      <c r="AQ141" s="471" t="n"/>
      <c r="AR141" s="471" t="n"/>
    </row>
    <row r="142" hidden="1" outlineLevel="1" ht="15.75" customFormat="1" customHeight="1" s="6">
      <c r="A142" s="462" t="n"/>
      <c r="B142" s="444" t="n"/>
      <c r="C142" s="463" t="inlineStr">
        <is>
          <t>Блок-секция Д</t>
        </is>
      </c>
      <c r="D142" s="444" t="n"/>
      <c r="E142" s="444" t="n"/>
      <c r="F142" s="444" t="n"/>
      <c r="G142" s="444" t="n"/>
      <c r="H142" s="444" t="n"/>
      <c r="I142" s="444" t="n"/>
      <c r="J142" s="444" t="n"/>
      <c r="K142" s="464" t="n"/>
      <c r="L142" s="465" t="n"/>
      <c r="M142" s="465" t="n"/>
      <c r="N142" s="466" t="n"/>
      <c r="O142" s="444" t="n"/>
      <c r="P142" s="444" t="n"/>
      <c r="Q142" s="467" t="n"/>
      <c r="R142" s="467" t="n"/>
      <c r="S142" s="444" t="n"/>
      <c r="T142" s="444" t="n"/>
      <c r="U142" s="444" t="n"/>
      <c r="V142" s="468" t="n"/>
      <c r="W142" s="444" t="n"/>
      <c r="X142" s="444" t="n"/>
      <c r="Y142" s="444" t="n"/>
      <c r="Z142" s="444" t="n"/>
      <c r="AA142" s="468" t="n"/>
      <c r="AB142" s="468" t="n"/>
      <c r="AC142" s="469" t="n"/>
      <c r="AD142" s="444" t="n"/>
      <c r="AE142" s="444" t="n"/>
      <c r="AF142" s="444" t="n"/>
      <c r="AG142" s="341" t="n"/>
      <c r="AH142" s="470" t="n"/>
      <c r="AI142" s="471" t="n"/>
      <c r="AJ142" s="472" t="n"/>
      <c r="AK142" s="470" t="n"/>
      <c r="AL142" s="471" t="n"/>
      <c r="AM142" s="471" t="n"/>
      <c r="AN142" s="471" t="n"/>
      <c r="AO142" s="471" t="n"/>
      <c r="AP142" s="471" t="n"/>
      <c r="AQ142" s="471" t="n"/>
      <c r="AR142" s="471" t="n"/>
    </row>
    <row r="143" hidden="1" outlineLevel="1" ht="15.75" customFormat="1" customHeight="1" s="6">
      <c r="A143" s="473" t="n"/>
      <c r="B143" s="474" t="inlineStr">
        <is>
          <t>Витражные блоки</t>
        </is>
      </c>
      <c r="C143" s="475" t="n"/>
      <c r="D143" s="475" t="n"/>
      <c r="E143" s="475" t="n"/>
      <c r="F143" s="475" t="n"/>
      <c r="G143" s="475" t="n"/>
      <c r="H143" s="475" t="n"/>
      <c r="I143" s="475" t="n"/>
      <c r="J143" s="475" t="n"/>
      <c r="K143" s="476" t="n"/>
      <c r="L143" s="477" t="n"/>
      <c r="M143" s="477" t="n"/>
      <c r="N143" s="478" t="n"/>
      <c r="O143" s="478" t="n"/>
      <c r="P143" s="478" t="n"/>
      <c r="Q143" s="479" t="n"/>
      <c r="R143" s="479" t="n"/>
      <c r="S143" s="479" t="n"/>
      <c r="T143" s="479" t="n"/>
      <c r="U143" s="479" t="n"/>
      <c r="V143" s="480" t="n"/>
      <c r="W143" s="480" t="n"/>
      <c r="X143" s="480" t="n"/>
      <c r="Y143" s="480" t="n"/>
      <c r="Z143" s="480" t="n"/>
      <c r="AA143" s="480" t="n"/>
      <c r="AB143" s="480" t="n"/>
      <c r="AC143" s="481" t="n"/>
      <c r="AD143" s="481" t="n"/>
      <c r="AE143" s="481" t="n"/>
      <c r="AF143" s="481" t="n"/>
      <c r="AG143" s="482" t="n"/>
      <c r="AH143" s="470" t="n"/>
      <c r="AI143" s="471" t="n"/>
      <c r="AJ143" s="472" t="n"/>
      <c r="AK143" s="470" t="n"/>
      <c r="AL143" s="471" t="n"/>
      <c r="AM143" s="471" t="n"/>
      <c r="AN143" s="471" t="n"/>
      <c r="AO143" s="471" t="n"/>
      <c r="AP143" s="471" t="n"/>
      <c r="AQ143" s="471" t="n"/>
      <c r="AR143" s="471" t="n"/>
    </row>
    <row r="144" hidden="1" outlineLevel="1" ht="80" customFormat="1" customHeight="1" s="6">
      <c r="A144" s="483" t="n">
        <v>1</v>
      </c>
      <c r="B144" s="484" t="inlineStr">
        <is>
          <t>Изготовление и монтаж витража Вн-6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44" s="444" t="n"/>
      <c r="D144" s="444" t="n"/>
      <c r="E144" s="444" t="n"/>
      <c r="F144" s="444" t="n"/>
      <c r="G144" s="444" t="n"/>
      <c r="H144" s="444" t="n"/>
      <c r="I144" s="444" t="n"/>
      <c r="J144" s="341" t="n"/>
      <c r="K144" s="485" t="n"/>
      <c r="L144" s="486" t="n"/>
      <c r="M144" s="487" t="n"/>
      <c r="N144" s="488">
        <f>ROUND(40.49*0.7,2)</f>
        <v/>
      </c>
      <c r="O144" s="447" t="n"/>
      <c r="P144" s="447" t="n"/>
      <c r="Q144" s="447" t="n"/>
      <c r="R144" s="447" t="n"/>
      <c r="S144" s="447" t="n"/>
      <c r="T144" s="447" t="n"/>
      <c r="U144" s="448" t="n"/>
      <c r="V144" s="489">
        <f>AA144+AB145</f>
        <v/>
      </c>
      <c r="W144" s="444" t="n"/>
      <c r="X144" s="444" t="n"/>
      <c r="Y144" s="444" t="n"/>
      <c r="Z144" s="341" t="n"/>
      <c r="AA144" s="490" t="n">
        <v>2966</v>
      </c>
      <c r="AB144" s="490" t="n"/>
      <c r="AC144" s="489">
        <f>AF144+AG145</f>
        <v/>
      </c>
      <c r="AD144" s="444" t="n"/>
      <c r="AE144" s="341" t="n"/>
      <c r="AF144" s="490">
        <f>N144*AA144</f>
        <v/>
      </c>
      <c r="AG144" s="491" t="n"/>
      <c r="AH144" s="470" t="n"/>
      <c r="AI144" s="471" t="n"/>
      <c r="AJ144" s="472" t="n"/>
      <c r="AK144" s="470" t="n"/>
      <c r="AL144" s="471" t="n"/>
      <c r="AM144" s="471" t="n"/>
      <c r="AN144" s="471" t="n"/>
      <c r="AO144" s="471" t="n"/>
      <c r="AP144" s="471" t="n"/>
      <c r="AQ144" s="471" t="n"/>
      <c r="AR144" s="471" t="n"/>
    </row>
    <row r="145" hidden="1" outlineLevel="1" ht="20.25" customFormat="1" customHeight="1" s="6">
      <c r="A145" s="492" t="n"/>
      <c r="B145" s="493" t="n"/>
      <c r="C145" s="494" t="inlineStr">
        <is>
          <t>Витражный блок Вн-6 (4200х4820мм)</t>
        </is>
      </c>
      <c r="D145" s="444" t="n"/>
      <c r="E145" s="444" t="n"/>
      <c r="F145" s="444" t="n"/>
      <c r="G145" s="444" t="n"/>
      <c r="H145" s="444" t="n"/>
      <c r="I145" s="444" t="n"/>
      <c r="J145" s="341" t="n"/>
      <c r="K145" s="495" t="n"/>
      <c r="L145" s="496" t="inlineStr">
        <is>
          <t>м2</t>
        </is>
      </c>
      <c r="M145" s="497" t="n"/>
      <c r="N145" s="449" t="n"/>
      <c r="O145" s="450" t="n"/>
      <c r="P145" s="450" t="n"/>
      <c r="Q145" s="450" t="n"/>
      <c r="R145" s="450" t="n"/>
      <c r="S145" s="450" t="n"/>
      <c r="T145" s="450" t="n"/>
      <c r="U145" s="451" t="n"/>
      <c r="V145" s="498" t="n"/>
      <c r="W145" s="444" t="n"/>
      <c r="X145" s="444" t="n"/>
      <c r="Y145" s="444" t="n"/>
      <c r="Z145" s="341" t="n"/>
      <c r="AA145" s="499" t="n"/>
      <c r="AB145" s="499" t="n">
        <v>19734.44</v>
      </c>
      <c r="AC145" s="498" t="n"/>
      <c r="AD145" s="444" t="n"/>
      <c r="AE145" s="341" t="n"/>
      <c r="AF145" s="499" t="n"/>
      <c r="AG145" s="500">
        <f>AB145*N144</f>
        <v/>
      </c>
      <c r="AH145" s="470" t="n"/>
      <c r="AI145" s="471" t="n"/>
      <c r="AJ145" s="472" t="n"/>
      <c r="AK145" s="470" t="n"/>
      <c r="AL145" s="471" t="n"/>
      <c r="AM145" s="471" t="n"/>
      <c r="AN145" s="471" t="n"/>
      <c r="AO145" s="471" t="n"/>
      <c r="AP145" s="471" t="n"/>
      <c r="AQ145" s="471" t="n"/>
      <c r="AR145" s="471" t="n"/>
    </row>
    <row r="146" hidden="1" outlineLevel="1" ht="80" customFormat="1" customHeight="1" s="6">
      <c r="A146" s="483" t="n">
        <v>2</v>
      </c>
      <c r="B146" s="484" t="inlineStr">
        <is>
          <t>Изготовление и монтаж витража Вн-7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46" s="444" t="n"/>
      <c r="D146" s="444" t="n"/>
      <c r="E146" s="444" t="n"/>
      <c r="F146" s="444" t="n"/>
      <c r="G146" s="444" t="n"/>
      <c r="H146" s="444" t="n"/>
      <c r="I146" s="444" t="n"/>
      <c r="J146" s="341" t="n"/>
      <c r="K146" s="485" t="n"/>
      <c r="L146" s="486" t="n"/>
      <c r="M146" s="487" t="n"/>
      <c r="N146" s="488">
        <f>ROUND(14.56*0.7,2)</f>
        <v/>
      </c>
      <c r="O146" s="447" t="n"/>
      <c r="P146" s="447" t="n"/>
      <c r="Q146" s="447" t="n"/>
      <c r="R146" s="447" t="n"/>
      <c r="S146" s="447" t="n"/>
      <c r="T146" s="447" t="n"/>
      <c r="U146" s="448" t="n"/>
      <c r="V146" s="489">
        <f>AA146+AB147</f>
        <v/>
      </c>
      <c r="W146" s="444" t="n"/>
      <c r="X146" s="444" t="n"/>
      <c r="Y146" s="444" t="n"/>
      <c r="Z146" s="341" t="n"/>
      <c r="AA146" s="490" t="n">
        <v>2966</v>
      </c>
      <c r="AB146" s="490" t="n"/>
      <c r="AC146" s="489">
        <f>AF146+AG147</f>
        <v/>
      </c>
      <c r="AD146" s="444" t="n"/>
      <c r="AE146" s="341" t="n"/>
      <c r="AF146" s="490">
        <f>N146*AA146</f>
        <v/>
      </c>
      <c r="AG146" s="491" t="n"/>
      <c r="AH146" s="470" t="n"/>
      <c r="AI146" s="471" t="n"/>
      <c r="AJ146" s="472" t="n"/>
      <c r="AK146" s="470" t="n"/>
      <c r="AL146" s="471" t="n"/>
      <c r="AM146" s="471" t="n"/>
      <c r="AN146" s="471" t="n"/>
      <c r="AO146" s="471" t="n"/>
      <c r="AP146" s="471" t="n"/>
      <c r="AQ146" s="471" t="n"/>
      <c r="AR146" s="471" t="n"/>
    </row>
    <row r="147" hidden="1" outlineLevel="1" ht="20.25" customFormat="1" customHeight="1" s="6">
      <c r="A147" s="492" t="n"/>
      <c r="B147" s="493" t="n"/>
      <c r="C147" s="494" t="inlineStr">
        <is>
          <t>Витражный блок Вн-7 (3020х4820 мм)</t>
        </is>
      </c>
      <c r="D147" s="444" t="n"/>
      <c r="E147" s="444" t="n"/>
      <c r="F147" s="444" t="n"/>
      <c r="G147" s="444" t="n"/>
      <c r="H147" s="444" t="n"/>
      <c r="I147" s="444" t="n"/>
      <c r="J147" s="341" t="n"/>
      <c r="K147" s="495" t="n"/>
      <c r="L147" s="496" t="inlineStr">
        <is>
          <t>м2</t>
        </is>
      </c>
      <c r="M147" s="497" t="n"/>
      <c r="N147" s="449" t="n"/>
      <c r="O147" s="450" t="n"/>
      <c r="P147" s="450" t="n"/>
      <c r="Q147" s="450" t="n"/>
      <c r="R147" s="450" t="n"/>
      <c r="S147" s="450" t="n"/>
      <c r="T147" s="450" t="n"/>
      <c r="U147" s="451" t="n"/>
      <c r="V147" s="498" t="n"/>
      <c r="W147" s="444" t="n"/>
      <c r="X147" s="444" t="n"/>
      <c r="Y147" s="444" t="n"/>
      <c r="Z147" s="341" t="n"/>
      <c r="AA147" s="499" t="n"/>
      <c r="AB147" s="499" t="n">
        <v>19734.44</v>
      </c>
      <c r="AC147" s="498" t="n"/>
      <c r="AD147" s="444" t="n"/>
      <c r="AE147" s="341" t="n"/>
      <c r="AF147" s="499" t="n"/>
      <c r="AG147" s="500">
        <f>AB147*N146</f>
        <v/>
      </c>
      <c r="AH147" s="470" t="n"/>
      <c r="AI147" s="471" t="n"/>
      <c r="AJ147" s="472" t="n"/>
      <c r="AK147" s="470" t="n"/>
      <c r="AL147" s="471" t="n"/>
      <c r="AM147" s="471" t="n"/>
      <c r="AN147" s="471" t="n"/>
      <c r="AO147" s="471" t="n"/>
      <c r="AP147" s="471" t="n"/>
      <c r="AQ147" s="471" t="n"/>
      <c r="AR147" s="471" t="n"/>
    </row>
    <row r="148" hidden="1" outlineLevel="1" ht="80" customFormat="1" customHeight="1" s="6">
      <c r="A148" s="483" t="n">
        <v>3</v>
      </c>
      <c r="B148" s="484" t="inlineStr">
        <is>
          <t>Изготовление и монтаж витража Вн-9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48" s="444" t="n"/>
      <c r="D148" s="444" t="n"/>
      <c r="E148" s="444" t="n"/>
      <c r="F148" s="444" t="n"/>
      <c r="G148" s="444" t="n"/>
      <c r="H148" s="444" t="n"/>
      <c r="I148" s="444" t="n"/>
      <c r="J148" s="341" t="n"/>
      <c r="K148" s="485" t="n"/>
      <c r="L148" s="486" t="n"/>
      <c r="M148" s="487" t="n"/>
      <c r="N148" s="488">
        <f>ROUND(18.65*0.7,2)</f>
        <v/>
      </c>
      <c r="O148" s="447" t="n"/>
      <c r="P148" s="447" t="n"/>
      <c r="Q148" s="447" t="n"/>
      <c r="R148" s="447" t="n"/>
      <c r="S148" s="447" t="n"/>
      <c r="T148" s="447" t="n"/>
      <c r="U148" s="448" t="n"/>
      <c r="V148" s="489">
        <f>AA148+AB149</f>
        <v/>
      </c>
      <c r="W148" s="444" t="n"/>
      <c r="X148" s="444" t="n"/>
      <c r="Y148" s="444" t="n"/>
      <c r="Z148" s="341" t="n"/>
      <c r="AA148" s="490" t="n">
        <v>2966</v>
      </c>
      <c r="AB148" s="490" t="n"/>
      <c r="AC148" s="489">
        <f>AF148+AG149</f>
        <v/>
      </c>
      <c r="AD148" s="444" t="n"/>
      <c r="AE148" s="341" t="n"/>
      <c r="AF148" s="490">
        <f>N148*AA148</f>
        <v/>
      </c>
      <c r="AG148" s="491" t="n"/>
      <c r="AH148" s="470" t="n"/>
      <c r="AI148" s="471" t="n"/>
      <c r="AJ148" s="472" t="n"/>
      <c r="AK148" s="470" t="n"/>
      <c r="AL148" s="471" t="n"/>
      <c r="AM148" s="471" t="n"/>
      <c r="AN148" s="471" t="n"/>
      <c r="AO148" s="471" t="n"/>
      <c r="AP148" s="471" t="n"/>
      <c r="AQ148" s="471" t="n"/>
      <c r="AR148" s="471" t="n"/>
    </row>
    <row r="149" hidden="1" outlineLevel="1" ht="20.25" customFormat="1" customHeight="1" s="6">
      <c r="A149" s="492" t="n"/>
      <c r="B149" s="493" t="n"/>
      <c r="C149" s="494" t="inlineStr">
        <is>
          <t>Витражный блок Вн-9 (3870х4820 мм)</t>
        </is>
      </c>
      <c r="D149" s="444" t="n"/>
      <c r="E149" s="444" t="n"/>
      <c r="F149" s="444" t="n"/>
      <c r="G149" s="444" t="n"/>
      <c r="H149" s="444" t="n"/>
      <c r="I149" s="444" t="n"/>
      <c r="J149" s="341" t="n"/>
      <c r="K149" s="495" t="n"/>
      <c r="L149" s="496" t="inlineStr">
        <is>
          <t>м2</t>
        </is>
      </c>
      <c r="M149" s="497" t="n"/>
      <c r="N149" s="449" t="n"/>
      <c r="O149" s="450" t="n"/>
      <c r="P149" s="450" t="n"/>
      <c r="Q149" s="450" t="n"/>
      <c r="R149" s="450" t="n"/>
      <c r="S149" s="450" t="n"/>
      <c r="T149" s="450" t="n"/>
      <c r="U149" s="451" t="n"/>
      <c r="V149" s="498" t="n"/>
      <c r="W149" s="444" t="n"/>
      <c r="X149" s="444" t="n"/>
      <c r="Y149" s="444" t="n"/>
      <c r="Z149" s="341" t="n"/>
      <c r="AA149" s="499" t="n"/>
      <c r="AB149" s="499" t="n">
        <v>19734.44</v>
      </c>
      <c r="AC149" s="498" t="n"/>
      <c r="AD149" s="444" t="n"/>
      <c r="AE149" s="341" t="n"/>
      <c r="AF149" s="499" t="n"/>
      <c r="AG149" s="500">
        <f>AB149*N148</f>
        <v/>
      </c>
      <c r="AH149" s="470" t="n"/>
      <c r="AI149" s="471" t="n"/>
      <c r="AJ149" s="472" t="n"/>
      <c r="AK149" s="470" t="n"/>
      <c r="AL149" s="471" t="n"/>
      <c r="AM149" s="471" t="n"/>
      <c r="AN149" s="471" t="n"/>
      <c r="AO149" s="471" t="n"/>
      <c r="AP149" s="471" t="n"/>
      <c r="AQ149" s="471" t="n"/>
      <c r="AR149" s="471" t="n"/>
    </row>
    <row r="150" hidden="1" outlineLevel="1" ht="80" customFormat="1" customHeight="1" s="6">
      <c r="A150" s="483" t="n">
        <v>4</v>
      </c>
      <c r="B150" s="484" t="inlineStr">
        <is>
          <t>Изготовление и монтаж витража Вн-17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50" s="444" t="n"/>
      <c r="D150" s="444" t="n"/>
      <c r="E150" s="444" t="n"/>
      <c r="F150" s="444" t="n"/>
      <c r="G150" s="444" t="n"/>
      <c r="H150" s="444" t="n"/>
      <c r="I150" s="444" t="n"/>
      <c r="J150" s="341" t="n"/>
      <c r="K150" s="485" t="n"/>
      <c r="L150" s="486" t="n"/>
      <c r="M150" s="487" t="n"/>
      <c r="N150" s="488">
        <f>ROUND(20.24*0.7,2)</f>
        <v/>
      </c>
      <c r="O150" s="447" t="n"/>
      <c r="P150" s="447" t="n"/>
      <c r="Q150" s="447" t="n"/>
      <c r="R150" s="447" t="n"/>
      <c r="S150" s="447" t="n"/>
      <c r="T150" s="447" t="n"/>
      <c r="U150" s="448" t="n"/>
      <c r="V150" s="489">
        <f>AA150+AB151</f>
        <v/>
      </c>
      <c r="W150" s="444" t="n"/>
      <c r="X150" s="444" t="n"/>
      <c r="Y150" s="444" t="n"/>
      <c r="Z150" s="341" t="n"/>
      <c r="AA150" s="490" t="n">
        <v>2966</v>
      </c>
      <c r="AB150" s="490" t="n"/>
      <c r="AC150" s="489">
        <f>AF150+AG151</f>
        <v/>
      </c>
      <c r="AD150" s="444" t="n"/>
      <c r="AE150" s="341" t="n"/>
      <c r="AF150" s="490">
        <f>N150*AA150</f>
        <v/>
      </c>
      <c r="AG150" s="491" t="n"/>
      <c r="AH150" s="470" t="n"/>
      <c r="AI150" s="471" t="n"/>
      <c r="AJ150" s="472" t="n"/>
      <c r="AK150" s="470" t="n"/>
      <c r="AL150" s="471" t="n"/>
      <c r="AM150" s="471" t="n"/>
      <c r="AN150" s="471" t="n"/>
      <c r="AO150" s="471" t="n"/>
      <c r="AP150" s="471" t="n"/>
      <c r="AQ150" s="471" t="n"/>
      <c r="AR150" s="471" t="n"/>
    </row>
    <row r="151" hidden="1" outlineLevel="1" ht="20.25" customFormat="1" customHeight="1" s="6">
      <c r="A151" s="492" t="n"/>
      <c r="B151" s="493" t="n"/>
      <c r="C151" s="494" t="inlineStr">
        <is>
          <t>Витражный блок Вн-17 (4200х4820 мм)</t>
        </is>
      </c>
      <c r="D151" s="444" t="n"/>
      <c r="E151" s="444" t="n"/>
      <c r="F151" s="444" t="n"/>
      <c r="G151" s="444" t="n"/>
      <c r="H151" s="444" t="n"/>
      <c r="I151" s="444" t="n"/>
      <c r="J151" s="341" t="n"/>
      <c r="K151" s="495" t="n"/>
      <c r="L151" s="496" t="inlineStr">
        <is>
          <t>м2</t>
        </is>
      </c>
      <c r="M151" s="497" t="n"/>
      <c r="N151" s="449" t="n"/>
      <c r="O151" s="450" t="n"/>
      <c r="P151" s="450" t="n"/>
      <c r="Q151" s="450" t="n"/>
      <c r="R151" s="450" t="n"/>
      <c r="S151" s="450" t="n"/>
      <c r="T151" s="450" t="n"/>
      <c r="U151" s="451" t="n"/>
      <c r="V151" s="498" t="n"/>
      <c r="W151" s="444" t="n"/>
      <c r="X151" s="444" t="n"/>
      <c r="Y151" s="444" t="n"/>
      <c r="Z151" s="341" t="n"/>
      <c r="AA151" s="499" t="n"/>
      <c r="AB151" s="499" t="n">
        <v>19734.44</v>
      </c>
      <c r="AC151" s="498" t="n"/>
      <c r="AD151" s="444" t="n"/>
      <c r="AE151" s="341" t="n"/>
      <c r="AF151" s="499" t="n"/>
      <c r="AG151" s="500">
        <f>AB151*N150</f>
        <v/>
      </c>
      <c r="AH151" s="470" t="n"/>
      <c r="AI151" s="471" t="n"/>
      <c r="AJ151" s="472" t="n"/>
      <c r="AK151" s="470" t="n"/>
      <c r="AL151" s="471" t="n"/>
      <c r="AM151" s="471" t="n"/>
      <c r="AN151" s="471" t="n"/>
      <c r="AO151" s="471" t="n"/>
      <c r="AP151" s="471" t="n"/>
      <c r="AQ151" s="471" t="n"/>
      <c r="AR151" s="471" t="n"/>
    </row>
    <row r="152" hidden="1" outlineLevel="1" ht="15.75" customFormat="1" customHeight="1" s="6">
      <c r="A152" s="473" t="n"/>
      <c r="B152" s="474" t="inlineStr">
        <is>
          <t>Двери наружные входные</t>
        </is>
      </c>
      <c r="C152" s="475" t="n"/>
      <c r="D152" s="475" t="n"/>
      <c r="E152" s="475" t="n"/>
      <c r="F152" s="475" t="n"/>
      <c r="G152" s="475" t="n"/>
      <c r="H152" s="475" t="n"/>
      <c r="I152" s="475" t="n"/>
      <c r="J152" s="475" t="n"/>
      <c r="K152" s="476" t="n"/>
      <c r="L152" s="477" t="n"/>
      <c r="M152" s="477" t="n"/>
      <c r="N152" s="478" t="n"/>
      <c r="O152" s="478" t="n"/>
      <c r="P152" s="478" t="n"/>
      <c r="Q152" s="479" t="n"/>
      <c r="R152" s="479" t="n"/>
      <c r="S152" s="479" t="n"/>
      <c r="T152" s="479" t="n"/>
      <c r="U152" s="479" t="n"/>
      <c r="V152" s="480" t="n"/>
      <c r="W152" s="480" t="n"/>
      <c r="X152" s="480" t="n"/>
      <c r="Y152" s="480" t="n"/>
      <c r="Z152" s="480" t="n"/>
      <c r="AA152" s="480" t="n"/>
      <c r="AB152" s="480" t="n"/>
      <c r="AC152" s="481" t="n"/>
      <c r="AD152" s="481" t="n"/>
      <c r="AE152" s="481" t="n"/>
      <c r="AF152" s="481" t="n"/>
      <c r="AG152" s="482" t="n"/>
      <c r="AH152" s="470" t="n"/>
      <c r="AI152" s="471" t="n"/>
      <c r="AJ152" s="472" t="n"/>
      <c r="AK152" s="470" t="n"/>
      <c r="AL152" s="471" t="n"/>
      <c r="AM152" s="471" t="n"/>
      <c r="AN152" s="471" t="n"/>
      <c r="AO152" s="471" t="n"/>
      <c r="AP152" s="471" t="n"/>
      <c r="AQ152" s="471" t="n"/>
      <c r="AR152" s="471" t="n"/>
    </row>
    <row r="153" collapsed="1" ht="63" customFormat="1" customHeight="1" s="6">
      <c r="A153" s="483" t="n">
        <v>5</v>
      </c>
      <c r="B153" s="484" t="inlineStr">
        <is>
          <t>Изготовление и монтаж дверных блоков входных двупольных Д17*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</t>
        </is>
      </c>
      <c r="C153" s="444" t="n"/>
      <c r="D153" s="444" t="n"/>
      <c r="E153" s="444" t="n"/>
      <c r="F153" s="444" t="n"/>
      <c r="G153" s="444" t="n"/>
      <c r="H153" s="444" t="n"/>
      <c r="I153" s="444" t="n"/>
      <c r="J153" s="341" t="n"/>
      <c r="K153" s="485" t="n"/>
      <c r="L153" s="486" t="n"/>
      <c r="M153" s="487" t="n"/>
      <c r="N153" s="488">
        <f>ROUND(18.8*0.7,2)</f>
        <v/>
      </c>
      <c r="O153" s="447" t="n"/>
      <c r="P153" s="447" t="n"/>
      <c r="Q153" s="447" t="n"/>
      <c r="R153" s="447" t="n"/>
      <c r="S153" s="447" t="n"/>
      <c r="T153" s="447" t="n"/>
      <c r="U153" s="448" t="n"/>
      <c r="V153" s="489">
        <f>AA153+AB154</f>
        <v/>
      </c>
      <c r="W153" s="444" t="n"/>
      <c r="X153" s="444" t="n"/>
      <c r="Y153" s="444" t="n"/>
      <c r="Z153" s="341" t="n"/>
      <c r="AA153" s="490" t="n">
        <v>2966</v>
      </c>
      <c r="AB153" s="490" t="n"/>
      <c r="AC153" s="489">
        <f>AF153+AG154</f>
        <v/>
      </c>
      <c r="AD153" s="444" t="n"/>
      <c r="AE153" s="341" t="n"/>
      <c r="AF153" s="490">
        <f>N153*AA153</f>
        <v/>
      </c>
      <c r="AG153" s="491" t="n"/>
      <c r="AH153" s="470" t="n"/>
      <c r="AI153" s="471" t="n"/>
      <c r="AJ153" s="472" t="n"/>
      <c r="AK153" s="470" t="n"/>
      <c r="AL153" s="471" t="n"/>
      <c r="AM153" s="471" t="n"/>
      <c r="AN153" s="471" t="n"/>
      <c r="AO153" s="471" t="n"/>
      <c r="AP153" s="471" t="n"/>
      <c r="AQ153" s="471" t="n"/>
      <c r="AR153" s="471" t="n"/>
    </row>
    <row r="154" ht="20.25" customFormat="1" customHeight="1" s="6">
      <c r="A154" s="492" t="n"/>
      <c r="B154" s="493" t="n"/>
      <c r="C154" s="494" t="inlineStr">
        <is>
          <t>Дверной блок наружный  ДНМО 2410х1300 П</t>
        </is>
      </c>
      <c r="D154" s="444" t="n"/>
      <c r="E154" s="444" t="n"/>
      <c r="F154" s="444" t="n"/>
      <c r="G154" s="444" t="n"/>
      <c r="H154" s="444" t="n"/>
      <c r="I154" s="444" t="n"/>
      <c r="J154" s="341" t="n"/>
      <c r="K154" s="495" t="n"/>
      <c r="L154" s="496" t="inlineStr">
        <is>
          <t>м2</t>
        </is>
      </c>
      <c r="M154" s="497" t="n"/>
      <c r="N154" s="449" t="n"/>
      <c r="O154" s="450" t="n"/>
      <c r="P154" s="450" t="n"/>
      <c r="Q154" s="450" t="n"/>
      <c r="R154" s="450" t="n"/>
      <c r="S154" s="450" t="n"/>
      <c r="T154" s="450" t="n"/>
      <c r="U154" s="451" t="n"/>
      <c r="V154" s="498" t="n"/>
      <c r="W154" s="444" t="n"/>
      <c r="X154" s="444" t="n"/>
      <c r="Y154" s="444" t="n"/>
      <c r="Z154" s="341" t="n"/>
      <c r="AA154" s="499" t="n"/>
      <c r="AB154" s="499" t="n">
        <v>19734.44</v>
      </c>
      <c r="AC154" s="498" t="n"/>
      <c r="AD154" s="444" t="n"/>
      <c r="AE154" s="341" t="n"/>
      <c r="AF154" s="499" t="n"/>
      <c r="AG154" s="500">
        <f>AB154*N153</f>
        <v/>
      </c>
      <c r="AH154" s="470" t="n"/>
      <c r="AI154" s="471" t="n"/>
      <c r="AJ154" s="472" t="n"/>
      <c r="AK154" s="470" t="n"/>
      <c r="AL154" s="471" t="n"/>
      <c r="AM154" s="471" t="n"/>
      <c r="AN154" s="471" t="n"/>
      <c r="AO154" s="471" t="n"/>
      <c r="AP154" s="471" t="n"/>
      <c r="AQ154" s="471" t="n"/>
      <c r="AR154" s="471" t="n"/>
    </row>
    <row r="155" ht="63" customFormat="1" customHeight="1" s="6">
      <c r="A155" s="483" t="n">
        <v>6</v>
      </c>
      <c r="B155" s="484" t="inlineStr">
        <is>
          <t xml:space="preserve">Изготовление и монтаж дверных блоков входных однопольных Д18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55" s="444" t="n"/>
      <c r="D155" s="444" t="n"/>
      <c r="E155" s="444" t="n"/>
      <c r="F155" s="444" t="n"/>
      <c r="G155" s="444" t="n"/>
      <c r="H155" s="444" t="n"/>
      <c r="I155" s="444" t="n"/>
      <c r="J155" s="341" t="n"/>
      <c r="K155" s="485" t="n"/>
      <c r="L155" s="486" t="n"/>
      <c r="M155" s="487" t="n"/>
      <c r="N155" s="488">
        <f>ROUND(2.1*0.7,2)</f>
        <v/>
      </c>
      <c r="O155" s="447" t="n"/>
      <c r="P155" s="447" t="n"/>
      <c r="Q155" s="447" t="n"/>
      <c r="R155" s="447" t="n"/>
      <c r="S155" s="447" t="n"/>
      <c r="T155" s="447" t="n"/>
      <c r="U155" s="448" t="n"/>
      <c r="V155" s="489">
        <f>AA155+AB156</f>
        <v/>
      </c>
      <c r="W155" s="444" t="n"/>
      <c r="X155" s="444" t="n"/>
      <c r="Y155" s="444" t="n"/>
      <c r="Z155" s="341" t="n"/>
      <c r="AA155" s="490" t="n">
        <v>2966</v>
      </c>
      <c r="AB155" s="490" t="n"/>
      <c r="AC155" s="489">
        <f>AF155+AG156</f>
        <v/>
      </c>
      <c r="AD155" s="444" t="n"/>
      <c r="AE155" s="341" t="n"/>
      <c r="AF155" s="490">
        <f>N155*AA155</f>
        <v/>
      </c>
      <c r="AG155" s="491" t="n"/>
      <c r="AH155" s="470" t="n"/>
      <c r="AI155" s="471" t="n"/>
      <c r="AJ155" s="472" t="n"/>
      <c r="AK155" s="470" t="n"/>
      <c r="AL155" s="471" t="n"/>
      <c r="AM155" s="471" t="n"/>
      <c r="AN155" s="471" t="n"/>
      <c r="AO155" s="471" t="n"/>
      <c r="AP155" s="471" t="n"/>
      <c r="AQ155" s="471" t="n"/>
      <c r="AR155" s="471" t="n"/>
    </row>
    <row r="156" ht="20.25" customFormat="1" customHeight="1" s="6">
      <c r="A156" s="492" t="n"/>
      <c r="B156" s="493" t="n"/>
      <c r="C156" s="494" t="inlineStr">
        <is>
          <t>Дверной блок наружный ДМН 2100х1000 П</t>
        </is>
      </c>
      <c r="D156" s="444" t="n"/>
      <c r="E156" s="444" t="n"/>
      <c r="F156" s="444" t="n"/>
      <c r="G156" s="444" t="n"/>
      <c r="H156" s="444" t="n"/>
      <c r="I156" s="444" t="n"/>
      <c r="J156" s="341" t="n"/>
      <c r="K156" s="495" t="n"/>
      <c r="L156" s="496" t="inlineStr">
        <is>
          <t>м2</t>
        </is>
      </c>
      <c r="M156" s="497" t="n"/>
      <c r="N156" s="449" t="n"/>
      <c r="O156" s="450" t="n"/>
      <c r="P156" s="450" t="n"/>
      <c r="Q156" s="450" t="n"/>
      <c r="R156" s="450" t="n"/>
      <c r="S156" s="450" t="n"/>
      <c r="T156" s="450" t="n"/>
      <c r="U156" s="451" t="n"/>
      <c r="V156" s="498" t="n"/>
      <c r="W156" s="444" t="n"/>
      <c r="X156" s="444" t="n"/>
      <c r="Y156" s="444" t="n"/>
      <c r="Z156" s="341" t="n"/>
      <c r="AA156" s="499" t="n"/>
      <c r="AB156" s="499" t="n">
        <v>19734.44</v>
      </c>
      <c r="AC156" s="498" t="n"/>
      <c r="AD156" s="444" t="n"/>
      <c r="AE156" s="341" t="n"/>
      <c r="AF156" s="499" t="n"/>
      <c r="AG156" s="500">
        <f>AB156*N155</f>
        <v/>
      </c>
      <c r="AH156" s="470" t="n"/>
      <c r="AI156" s="471" t="n"/>
      <c r="AJ156" s="472" t="n"/>
      <c r="AK156" s="470" t="n"/>
      <c r="AL156" s="471" t="n"/>
      <c r="AM156" s="471" t="n"/>
      <c r="AN156" s="471" t="n"/>
      <c r="AO156" s="471" t="n"/>
      <c r="AP156" s="471" t="n"/>
      <c r="AQ156" s="471" t="n"/>
      <c r="AR156" s="471" t="n"/>
    </row>
    <row r="157" ht="63" customFormat="1" customHeight="1" s="46">
      <c r="A157" s="483" t="n">
        <v>7</v>
      </c>
      <c r="B157" s="484" t="inlineStr">
        <is>
          <t xml:space="preserve">Изготовление и монтаж дверных блоков входных двупольных Д19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57" s="444" t="n"/>
      <c r="D157" s="444" t="n"/>
      <c r="E157" s="444" t="n"/>
      <c r="F157" s="444" t="n"/>
      <c r="G157" s="444" t="n"/>
      <c r="H157" s="444" t="n"/>
      <c r="I157" s="444" t="n"/>
      <c r="J157" s="341" t="n"/>
      <c r="K157" s="485" t="n"/>
      <c r="L157" s="486" t="n"/>
      <c r="M157" s="487" t="n"/>
      <c r="N157" s="488">
        <f>ROUND(2.1*0.7,2)</f>
        <v/>
      </c>
      <c r="O157" s="447" t="n"/>
      <c r="P157" s="447" t="n"/>
      <c r="Q157" s="447" t="n"/>
      <c r="R157" s="447" t="n"/>
      <c r="S157" s="447" t="n"/>
      <c r="T157" s="447" t="n"/>
      <c r="U157" s="448" t="n"/>
      <c r="V157" s="489">
        <f>AA157+AB158</f>
        <v/>
      </c>
      <c r="W157" s="444" t="n"/>
      <c r="X157" s="444" t="n"/>
      <c r="Y157" s="444" t="n"/>
      <c r="Z157" s="341" t="n"/>
      <c r="AA157" s="490" t="n">
        <v>2966</v>
      </c>
      <c r="AB157" s="490" t="n"/>
      <c r="AC157" s="489">
        <f>AF157+AG158</f>
        <v/>
      </c>
      <c r="AD157" s="444" t="n"/>
      <c r="AE157" s="341" t="n"/>
      <c r="AF157" s="490">
        <f>N157*AA157</f>
        <v/>
      </c>
      <c r="AG157" s="491" t="n"/>
      <c r="AH157" s="470" t="n"/>
      <c r="AI157" s="471" t="n"/>
      <c r="AJ157" s="472" t="n"/>
      <c r="AK157" s="470" t="n"/>
      <c r="AL157" s="471" t="n"/>
      <c r="AM157" s="471" t="n"/>
      <c r="AN157" s="471" t="n"/>
      <c r="AO157" s="471" t="n"/>
      <c r="AP157" s="471" t="n"/>
      <c r="AQ157" s="471" t="n"/>
      <c r="AR157" s="471" t="n"/>
    </row>
    <row r="158" ht="20.25" customHeight="1" s="285">
      <c r="A158" s="492" t="n"/>
      <c r="B158" s="493" t="n"/>
      <c r="C158" s="494" t="inlineStr">
        <is>
          <t>Дверной блок наружный ДНМО 2100х1000 П</t>
        </is>
      </c>
      <c r="D158" s="444" t="n"/>
      <c r="E158" s="444" t="n"/>
      <c r="F158" s="444" t="n"/>
      <c r="G158" s="444" t="n"/>
      <c r="H158" s="444" t="n"/>
      <c r="I158" s="444" t="n"/>
      <c r="J158" s="341" t="n"/>
      <c r="K158" s="495" t="n"/>
      <c r="L158" s="496" t="inlineStr">
        <is>
          <t>м2</t>
        </is>
      </c>
      <c r="M158" s="497" t="n"/>
      <c r="N158" s="449" t="n"/>
      <c r="O158" s="450" t="n"/>
      <c r="P158" s="450" t="n"/>
      <c r="Q158" s="450" t="n"/>
      <c r="R158" s="450" t="n"/>
      <c r="S158" s="450" t="n"/>
      <c r="T158" s="450" t="n"/>
      <c r="U158" s="451" t="n"/>
      <c r="V158" s="498" t="n"/>
      <c r="W158" s="444" t="n"/>
      <c r="X158" s="444" t="n"/>
      <c r="Y158" s="444" t="n"/>
      <c r="Z158" s="341" t="n"/>
      <c r="AA158" s="499" t="n"/>
      <c r="AB158" s="499" t="n">
        <v>19734.44</v>
      </c>
      <c r="AC158" s="498" t="n"/>
      <c r="AD158" s="444" t="n"/>
      <c r="AE158" s="341" t="n"/>
      <c r="AF158" s="499" t="n"/>
      <c r="AG158" s="500">
        <f>AB158*N157</f>
        <v/>
      </c>
      <c r="AH158" s="470" t="n"/>
      <c r="AI158" s="471" t="n"/>
      <c r="AJ158" s="472" t="n"/>
      <c r="AK158" s="470" t="n"/>
      <c r="AL158" s="471" t="n"/>
      <c r="AM158" s="471" t="n"/>
      <c r="AN158" s="471" t="n"/>
      <c r="AO158" s="471" t="n"/>
      <c r="AP158" s="471" t="n"/>
      <c r="AQ158" s="471" t="n"/>
      <c r="AR158" s="471" t="n"/>
    </row>
    <row r="159" ht="63" customFormat="1" customHeight="1" s="6">
      <c r="A159" s="483" t="n">
        <v>8</v>
      </c>
      <c r="B159" s="484" t="inlineStr">
        <is>
          <t xml:space="preserve">Изготовление и монтаж дверных блоков входных двупольных Д22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59" s="444" t="n"/>
      <c r="D159" s="444" t="n"/>
      <c r="E159" s="444" t="n"/>
      <c r="F159" s="444" t="n"/>
      <c r="G159" s="444" t="n"/>
      <c r="H159" s="444" t="n"/>
      <c r="I159" s="444" t="n"/>
      <c r="J159" s="341" t="n"/>
      <c r="K159" s="485" t="n"/>
      <c r="L159" s="486" t="n"/>
      <c r="M159" s="487" t="n"/>
      <c r="N159" s="488">
        <f>ROUND(2.73*0.7,2)</f>
        <v/>
      </c>
      <c r="O159" s="447" t="n"/>
      <c r="P159" s="447" t="n"/>
      <c r="Q159" s="447" t="n"/>
      <c r="R159" s="447" t="n"/>
      <c r="S159" s="447" t="n"/>
      <c r="T159" s="447" t="n"/>
      <c r="U159" s="448" t="n"/>
      <c r="V159" s="489">
        <f>AA159+AB160</f>
        <v/>
      </c>
      <c r="W159" s="444" t="n"/>
      <c r="X159" s="444" t="n"/>
      <c r="Y159" s="444" t="n"/>
      <c r="Z159" s="341" t="n"/>
      <c r="AA159" s="490" t="n">
        <v>2966</v>
      </c>
      <c r="AB159" s="490" t="n"/>
      <c r="AC159" s="489">
        <f>AF159+AG160</f>
        <v/>
      </c>
      <c r="AD159" s="444" t="n"/>
      <c r="AE159" s="341" t="n"/>
      <c r="AF159" s="490">
        <f>N159*AA159</f>
        <v/>
      </c>
      <c r="AG159" s="491" t="n"/>
      <c r="AH159" s="470" t="n"/>
      <c r="AI159" s="471" t="n"/>
      <c r="AJ159" s="472" t="n"/>
      <c r="AK159" s="470" t="n"/>
      <c r="AL159" s="471" t="n"/>
      <c r="AM159" s="471" t="n"/>
      <c r="AN159" s="471" t="n"/>
      <c r="AO159" s="471" t="n"/>
      <c r="AP159" s="471" t="n"/>
      <c r="AQ159" s="471" t="n"/>
      <c r="AR159" s="471" t="n"/>
    </row>
    <row r="160" ht="20.25" customFormat="1" customHeight="1" s="6">
      <c r="A160" s="492" t="n"/>
      <c r="B160" s="493" t="n"/>
      <c r="C160" s="494" t="inlineStr">
        <is>
          <t>Дверной блок наружный  ДМНО 2100х1300 П</t>
        </is>
      </c>
      <c r="D160" s="444" t="n"/>
      <c r="E160" s="444" t="n"/>
      <c r="F160" s="444" t="n"/>
      <c r="G160" s="444" t="n"/>
      <c r="H160" s="444" t="n"/>
      <c r="I160" s="444" t="n"/>
      <c r="J160" s="341" t="n"/>
      <c r="K160" s="495" t="n"/>
      <c r="L160" s="496" t="inlineStr">
        <is>
          <t>м2</t>
        </is>
      </c>
      <c r="M160" s="497" t="n"/>
      <c r="N160" s="449" t="n"/>
      <c r="O160" s="450" t="n"/>
      <c r="P160" s="450" t="n"/>
      <c r="Q160" s="450" t="n"/>
      <c r="R160" s="450" t="n"/>
      <c r="S160" s="450" t="n"/>
      <c r="T160" s="450" t="n"/>
      <c r="U160" s="451" t="n"/>
      <c r="V160" s="498" t="n"/>
      <c r="W160" s="444" t="n"/>
      <c r="X160" s="444" t="n"/>
      <c r="Y160" s="444" t="n"/>
      <c r="Z160" s="341" t="n"/>
      <c r="AA160" s="499" t="n"/>
      <c r="AB160" s="499" t="n">
        <v>19734.44</v>
      </c>
      <c r="AC160" s="498" t="n"/>
      <c r="AD160" s="444" t="n"/>
      <c r="AE160" s="341" t="n"/>
      <c r="AF160" s="499" t="n"/>
      <c r="AG160" s="500">
        <f>AB160*N159</f>
        <v/>
      </c>
      <c r="AH160" s="470" t="n"/>
      <c r="AI160" s="471" t="n"/>
      <c r="AJ160" s="472" t="n"/>
      <c r="AK160" s="470" t="n"/>
      <c r="AL160" s="471" t="n"/>
      <c r="AM160" s="471" t="n"/>
      <c r="AN160" s="471" t="n"/>
      <c r="AO160" s="471" t="n"/>
      <c r="AP160" s="471" t="n"/>
      <c r="AQ160" s="471" t="n"/>
      <c r="AR160" s="471" t="n"/>
    </row>
    <row r="161" ht="63" customHeight="1" s="285">
      <c r="A161" s="174" t="n">
        <v>9</v>
      </c>
      <c r="B161" s="507" t="inlineStr">
        <is>
          <t xml:space="preserve">Изготовление и монтаж дверных блоков входных однопольных Д35 остекленного из алюминиевого профиля  (ГОСТ 23747-2014).  Цвет профиля -  RAL 7024 (матовый графитовый серый). Открывание дверей наружу Заполнение -  не менее 24мм. 4LH Solar Silver-16-4M1. </t>
        </is>
      </c>
      <c r="C161" s="444" t="n"/>
      <c r="D161" s="444" t="n"/>
      <c r="E161" s="444" t="n"/>
      <c r="F161" s="444" t="n"/>
      <c r="G161" s="444" t="n"/>
      <c r="H161" s="444" t="n"/>
      <c r="I161" s="444" t="n"/>
      <c r="J161" s="341" t="n"/>
      <c r="K161" s="141" t="n"/>
      <c r="L161" s="142" t="n"/>
      <c r="M161" s="143" t="n"/>
      <c r="N161" s="508">
        <f>ROUND(3.13*0.7,2)</f>
        <v/>
      </c>
      <c r="O161" s="447" t="n"/>
      <c r="P161" s="447" t="n"/>
      <c r="Q161" s="447" t="n"/>
      <c r="R161" s="447" t="n"/>
      <c r="S161" s="447" t="n"/>
      <c r="T161" s="447" t="n"/>
      <c r="U161" s="448" t="n"/>
      <c r="V161" s="425">
        <f>AA161+AB162</f>
        <v/>
      </c>
      <c r="W161" s="444" t="n"/>
      <c r="X161" s="444" t="n"/>
      <c r="Y161" s="444" t="n"/>
      <c r="Z161" s="341" t="n"/>
      <c r="AA161" s="177" t="n">
        <v>2966</v>
      </c>
      <c r="AB161" s="177" t="n"/>
      <c r="AC161" s="425">
        <f>AF161+AG162</f>
        <v/>
      </c>
      <c r="AD161" s="444" t="n"/>
      <c r="AE161" s="341" t="n"/>
      <c r="AF161" s="177">
        <f>N161*AA161</f>
        <v/>
      </c>
      <c r="AG161" s="426" t="n"/>
      <c r="AH161" s="9" t="n"/>
      <c r="AJ161" s="334" t="n"/>
      <c r="AK161" s="9" t="n"/>
    </row>
    <row r="162" ht="20.25" customHeight="1" s="285">
      <c r="A162" s="175" t="n"/>
      <c r="B162" s="509" t="n"/>
      <c r="C162" s="510" t="inlineStr">
        <is>
          <t>Дверной блок наружный  ДНМО 2410х1300 Л</t>
        </is>
      </c>
      <c r="D162" s="444" t="n"/>
      <c r="E162" s="444" t="n"/>
      <c r="F162" s="444" t="n"/>
      <c r="G162" s="444" t="n"/>
      <c r="H162" s="444" t="n"/>
      <c r="I162" s="444" t="n"/>
      <c r="J162" s="341" t="n"/>
      <c r="K162" s="511" t="n"/>
      <c r="L162" s="60" t="inlineStr">
        <is>
          <t>м2</t>
        </is>
      </c>
      <c r="M162" s="512" t="n"/>
      <c r="N162" s="449" t="n"/>
      <c r="O162" s="450" t="n"/>
      <c r="P162" s="450" t="n"/>
      <c r="Q162" s="450" t="n"/>
      <c r="R162" s="450" t="n"/>
      <c r="S162" s="450" t="n"/>
      <c r="T162" s="450" t="n"/>
      <c r="U162" s="451" t="n"/>
      <c r="V162" s="513" t="n"/>
      <c r="W162" s="444" t="n"/>
      <c r="X162" s="444" t="n"/>
      <c r="Y162" s="444" t="n"/>
      <c r="Z162" s="341" t="n"/>
      <c r="AA162" s="179" t="n"/>
      <c r="AB162" s="179" t="n">
        <v>19734.44</v>
      </c>
      <c r="AC162" s="513" t="n"/>
      <c r="AD162" s="444" t="n"/>
      <c r="AE162" s="341" t="n"/>
      <c r="AF162" s="179" t="n"/>
      <c r="AG162" s="514">
        <f>AB162*N161</f>
        <v/>
      </c>
      <c r="AH162" s="9" t="n"/>
      <c r="AJ162" s="334" t="n"/>
      <c r="AK162" s="9" t="n"/>
    </row>
    <row r="163" ht="15.75" customHeight="1" s="285">
      <c r="A163" s="371" t="n"/>
      <c r="B163" s="444" t="n"/>
      <c r="C163" s="416" t="n"/>
      <c r="D163" s="444" t="n"/>
      <c r="E163" s="444" t="n"/>
      <c r="F163" s="444" t="n"/>
      <c r="G163" s="444" t="n"/>
      <c r="H163" s="444" t="n"/>
      <c r="I163" s="444" t="n"/>
      <c r="J163" s="444" t="n"/>
      <c r="K163" s="136" t="n"/>
      <c r="L163" s="176" t="inlineStr">
        <is>
          <t>м2</t>
        </is>
      </c>
      <c r="M163" s="137" t="n"/>
      <c r="N163" s="417" t="n"/>
      <c r="O163" s="444" t="n"/>
      <c r="P163" s="444" t="n"/>
      <c r="Q163" s="343" t="n"/>
      <c r="R163" s="427">
        <f>SUM(N143:U162)</f>
        <v/>
      </c>
      <c r="S163" s="444" t="n"/>
      <c r="T163" s="444" t="n"/>
      <c r="U163" s="444" t="n"/>
      <c r="V163" s="344" t="n"/>
      <c r="W163" s="444" t="n"/>
      <c r="X163" s="444" t="n"/>
      <c r="Y163" s="444" t="n"/>
      <c r="Z163" s="444" t="n"/>
      <c r="AA163" s="344" t="n"/>
      <c r="AB163" s="344" t="n"/>
      <c r="AC163" s="428">
        <f>SUM(AC143:AE162)</f>
        <v/>
      </c>
      <c r="AD163" s="444" t="n"/>
      <c r="AE163" s="444" t="n"/>
      <c r="AF163" s="345" t="n"/>
      <c r="AG163" s="346" t="n"/>
      <c r="AH163" s="9" t="n"/>
      <c r="AJ163" s="334" t="n"/>
      <c r="AK163" s="9" t="n"/>
    </row>
    <row r="164" ht="15.75" customHeight="1" s="285">
      <c r="A164" s="371" t="n"/>
      <c r="B164" s="444" t="n"/>
      <c r="C164" s="372" t="inlineStr">
        <is>
          <t>Блок-секция Ж(Парковка)</t>
        </is>
      </c>
      <c r="D164" s="444" t="n"/>
      <c r="E164" s="444" t="n"/>
      <c r="F164" s="444" t="n"/>
      <c r="G164" s="444" t="n"/>
      <c r="H164" s="444" t="n"/>
      <c r="I164" s="444" t="n"/>
      <c r="J164" s="444" t="n"/>
      <c r="K164" s="136" t="n"/>
      <c r="L164" s="137" t="n"/>
      <c r="M164" s="137" t="n"/>
      <c r="N164" s="342" t="n"/>
      <c r="O164" s="444" t="n"/>
      <c r="P164" s="444" t="n"/>
      <c r="Q164" s="343" t="n"/>
      <c r="R164" s="343" t="n"/>
      <c r="S164" s="444" t="n"/>
      <c r="T164" s="444" t="n"/>
      <c r="U164" s="444" t="n"/>
      <c r="V164" s="344" t="n"/>
      <c r="W164" s="444" t="n"/>
      <c r="X164" s="444" t="n"/>
      <c r="Y164" s="444" t="n"/>
      <c r="Z164" s="444" t="n"/>
      <c r="AA164" s="344" t="n"/>
      <c r="AB164" s="344" t="n"/>
      <c r="AC164" s="346" t="n"/>
      <c r="AD164" s="444" t="n"/>
      <c r="AE164" s="444" t="n"/>
      <c r="AF164" s="444" t="n"/>
      <c r="AG164" s="341" t="n"/>
      <c r="AH164" s="9" t="n"/>
      <c r="AJ164" s="334" t="n"/>
      <c r="AK164" s="9" t="n"/>
    </row>
    <row r="165" ht="15.75" customHeight="1" s="285">
      <c r="A165" s="189" t="n"/>
      <c r="B165" s="198" t="inlineStr">
        <is>
          <t>Витражные блоки</t>
        </is>
      </c>
      <c r="C165" s="190" t="n"/>
      <c r="D165" s="190" t="n"/>
      <c r="E165" s="190" t="n"/>
      <c r="F165" s="190" t="n"/>
      <c r="G165" s="190" t="n"/>
      <c r="H165" s="190" t="n"/>
      <c r="I165" s="190" t="n"/>
      <c r="J165" s="190" t="n"/>
      <c r="K165" s="191" t="n"/>
      <c r="L165" s="192" t="n"/>
      <c r="M165" s="192" t="n"/>
      <c r="N165" s="193" t="n"/>
      <c r="O165" s="193" t="n"/>
      <c r="P165" s="193" t="n"/>
      <c r="Q165" s="194" t="n"/>
      <c r="R165" s="194" t="n"/>
      <c r="S165" s="194" t="n"/>
      <c r="T165" s="194" t="n"/>
      <c r="U165" s="194" t="n"/>
      <c r="V165" s="195" t="n"/>
      <c r="W165" s="195" t="n"/>
      <c r="X165" s="195" t="n"/>
      <c r="Y165" s="195" t="n"/>
      <c r="Z165" s="195" t="n"/>
      <c r="AA165" s="195" t="n"/>
      <c r="AB165" s="195" t="n"/>
      <c r="AC165" s="196" t="n"/>
      <c r="AD165" s="196" t="n"/>
      <c r="AE165" s="196" t="n"/>
      <c r="AF165" s="196" t="n"/>
      <c r="AG165" s="197" t="n"/>
      <c r="AH165" s="9" t="n"/>
      <c r="AJ165" s="334" t="n"/>
      <c r="AK165" s="9" t="n"/>
    </row>
    <row r="166" ht="80" customHeight="1" s="285">
      <c r="A166" s="174" t="n">
        <v>1</v>
      </c>
      <c r="B166" s="507" t="inlineStr">
        <is>
          <t>Изготовление и монтаж витража Вн-1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66" s="444" t="n"/>
      <c r="D166" s="444" t="n"/>
      <c r="E166" s="444" t="n"/>
      <c r="F166" s="444" t="n"/>
      <c r="G166" s="444" t="n"/>
      <c r="H166" s="444" t="n"/>
      <c r="I166" s="444" t="n"/>
      <c r="J166" s="341" t="n"/>
      <c r="K166" s="141" t="n"/>
      <c r="L166" s="142" t="n"/>
      <c r="M166" s="143" t="n"/>
      <c r="N166" s="508">
        <f>ROUND(18.38*0.7,2)</f>
        <v/>
      </c>
      <c r="O166" s="447" t="n"/>
      <c r="P166" s="447" t="n"/>
      <c r="Q166" s="447" t="n"/>
      <c r="R166" s="447" t="n"/>
      <c r="S166" s="447" t="n"/>
      <c r="T166" s="447" t="n"/>
      <c r="U166" s="448" t="n"/>
      <c r="V166" s="425">
        <f>AA166+AB167</f>
        <v/>
      </c>
      <c r="W166" s="444" t="n"/>
      <c r="X166" s="444" t="n"/>
      <c r="Y166" s="444" t="n"/>
      <c r="Z166" s="341" t="n"/>
      <c r="AA166" s="177" t="n">
        <v>2966</v>
      </c>
      <c r="AB166" s="177" t="n"/>
      <c r="AC166" s="425">
        <f>AF166+AG167</f>
        <v/>
      </c>
      <c r="AD166" s="444" t="n"/>
      <c r="AE166" s="341" t="n"/>
      <c r="AF166" s="177">
        <f>N166*AA166</f>
        <v/>
      </c>
      <c r="AG166" s="426" t="n"/>
      <c r="AH166" s="9" t="n"/>
      <c r="AJ166" s="334" t="n"/>
      <c r="AK166" s="9" t="n"/>
    </row>
    <row r="167" ht="20.25" customHeight="1" s="285">
      <c r="A167" s="175" t="n"/>
      <c r="B167" s="509" t="n"/>
      <c r="C167" s="510" t="inlineStr">
        <is>
          <t>Витражный блок Вн-1 (4750х3870 мм)</t>
        </is>
      </c>
      <c r="D167" s="444" t="n"/>
      <c r="E167" s="444" t="n"/>
      <c r="F167" s="444" t="n"/>
      <c r="G167" s="444" t="n"/>
      <c r="H167" s="444" t="n"/>
      <c r="I167" s="444" t="n"/>
      <c r="J167" s="341" t="n"/>
      <c r="K167" s="511" t="n"/>
      <c r="L167" s="60" t="inlineStr">
        <is>
          <t>м2</t>
        </is>
      </c>
      <c r="M167" s="512" t="n"/>
      <c r="N167" s="449" t="n"/>
      <c r="O167" s="450" t="n"/>
      <c r="P167" s="450" t="n"/>
      <c r="Q167" s="450" t="n"/>
      <c r="R167" s="450" t="n"/>
      <c r="S167" s="450" t="n"/>
      <c r="T167" s="450" t="n"/>
      <c r="U167" s="451" t="n"/>
      <c r="V167" s="513" t="n"/>
      <c r="W167" s="444" t="n"/>
      <c r="X167" s="444" t="n"/>
      <c r="Y167" s="444" t="n"/>
      <c r="Z167" s="341" t="n"/>
      <c r="AA167" s="179" t="n"/>
      <c r="AB167" s="179" t="n">
        <v>19734.44</v>
      </c>
      <c r="AC167" s="513" t="n"/>
      <c r="AD167" s="444" t="n"/>
      <c r="AE167" s="341" t="n"/>
      <c r="AF167" s="179" t="n"/>
      <c r="AG167" s="514">
        <f>AB167*N166</f>
        <v/>
      </c>
      <c r="AH167" s="9" t="n"/>
      <c r="AJ167" s="334" t="n"/>
      <c r="AK167" s="9" t="n"/>
    </row>
    <row r="168" ht="80" customHeight="1" s="285">
      <c r="A168" s="174" t="n">
        <v>2</v>
      </c>
      <c r="B168" s="507" t="inlineStr">
        <is>
          <t>Изготовление и монтаж витража Вн-2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68" s="444" t="n"/>
      <c r="D168" s="444" t="n"/>
      <c r="E168" s="444" t="n"/>
      <c r="F168" s="444" t="n"/>
      <c r="G168" s="444" t="n"/>
      <c r="H168" s="444" t="n"/>
      <c r="I168" s="444" t="n"/>
      <c r="J168" s="341" t="n"/>
      <c r="K168" s="141" t="n"/>
      <c r="L168" s="142" t="n"/>
      <c r="M168" s="143" t="n"/>
      <c r="N168" s="508">
        <f>ROUND(18.38*0.7,2)</f>
        <v/>
      </c>
      <c r="O168" s="447" t="n"/>
      <c r="P168" s="447" t="n"/>
      <c r="Q168" s="447" t="n"/>
      <c r="R168" s="447" t="n"/>
      <c r="S168" s="447" t="n"/>
      <c r="T168" s="447" t="n"/>
      <c r="U168" s="448" t="n"/>
      <c r="V168" s="425">
        <f>AA168+AB169</f>
        <v/>
      </c>
      <c r="W168" s="444" t="n"/>
      <c r="X168" s="444" t="n"/>
      <c r="Y168" s="444" t="n"/>
      <c r="Z168" s="341" t="n"/>
      <c r="AA168" s="177" t="n">
        <v>2966</v>
      </c>
      <c r="AB168" s="177" t="n"/>
      <c r="AC168" s="425">
        <f>AF168+AG169</f>
        <v/>
      </c>
      <c r="AD168" s="444" t="n"/>
      <c r="AE168" s="341" t="n"/>
      <c r="AF168" s="177">
        <f>N168*AA168</f>
        <v/>
      </c>
      <c r="AG168" s="426" t="n"/>
      <c r="AH168" s="9" t="n"/>
      <c r="AJ168" s="334" t="n"/>
      <c r="AK168" s="9" t="n"/>
    </row>
    <row r="169" ht="20.25" customHeight="1" s="285">
      <c r="A169" s="175" t="n"/>
      <c r="B169" s="509" t="n"/>
      <c r="C169" s="510" t="inlineStr">
        <is>
          <t>Витражный блок Вн-2 (4750х3870 мм)</t>
        </is>
      </c>
      <c r="D169" s="444" t="n"/>
      <c r="E169" s="444" t="n"/>
      <c r="F169" s="444" t="n"/>
      <c r="G169" s="444" t="n"/>
      <c r="H169" s="444" t="n"/>
      <c r="I169" s="444" t="n"/>
      <c r="J169" s="341" t="n"/>
      <c r="K169" s="511" t="n"/>
      <c r="L169" s="60" t="inlineStr">
        <is>
          <t>м2</t>
        </is>
      </c>
      <c r="M169" s="512" t="n"/>
      <c r="N169" s="449" t="n"/>
      <c r="O169" s="450" t="n"/>
      <c r="P169" s="450" t="n"/>
      <c r="Q169" s="450" t="n"/>
      <c r="R169" s="450" t="n"/>
      <c r="S169" s="450" t="n"/>
      <c r="T169" s="450" t="n"/>
      <c r="U169" s="451" t="n"/>
      <c r="V169" s="513" t="n"/>
      <c r="W169" s="444" t="n"/>
      <c r="X169" s="444" t="n"/>
      <c r="Y169" s="444" t="n"/>
      <c r="Z169" s="341" t="n"/>
      <c r="AA169" s="179" t="n"/>
      <c r="AB169" s="179" t="n">
        <v>19734.44</v>
      </c>
      <c r="AC169" s="513" t="n"/>
      <c r="AD169" s="444" t="n"/>
      <c r="AE169" s="341" t="n"/>
      <c r="AF169" s="179" t="n"/>
      <c r="AG169" s="514">
        <f>AB169*N168</f>
        <v/>
      </c>
      <c r="AH169" s="9" t="n"/>
      <c r="AJ169" s="334" t="n"/>
      <c r="AK169" s="9" t="n"/>
    </row>
    <row r="170" ht="80" customHeight="1" s="285">
      <c r="A170" s="174" t="n">
        <v>3</v>
      </c>
      <c r="B170" s="507" t="inlineStr">
        <is>
          <t>Изготовление и монтаж витража Вн-3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70" s="444" t="n"/>
      <c r="D170" s="444" t="n"/>
      <c r="E170" s="444" t="n"/>
      <c r="F170" s="444" t="n"/>
      <c r="G170" s="444" t="n"/>
      <c r="H170" s="444" t="n"/>
      <c r="I170" s="444" t="n"/>
      <c r="J170" s="341" t="n"/>
      <c r="K170" s="141" t="n"/>
      <c r="L170" s="142" t="n"/>
      <c r="M170" s="143" t="n"/>
      <c r="N170" s="508">
        <f>ROUND(23.61*0.7,2)</f>
        <v/>
      </c>
      <c r="O170" s="447" t="n"/>
      <c r="P170" s="447" t="n"/>
      <c r="Q170" s="447" t="n"/>
      <c r="R170" s="447" t="n"/>
      <c r="S170" s="447" t="n"/>
      <c r="T170" s="447" t="n"/>
      <c r="U170" s="448" t="n"/>
      <c r="V170" s="425">
        <f>AA170+AB171</f>
        <v/>
      </c>
      <c r="W170" s="444" t="n"/>
      <c r="X170" s="444" t="n"/>
      <c r="Y170" s="444" t="n"/>
      <c r="Z170" s="341" t="n"/>
      <c r="AA170" s="177" t="n">
        <v>2966</v>
      </c>
      <c r="AB170" s="177" t="n"/>
      <c r="AC170" s="425">
        <f>AF170+AG171</f>
        <v/>
      </c>
      <c r="AD170" s="444" t="n"/>
      <c r="AE170" s="341" t="n"/>
      <c r="AF170" s="177">
        <f>N170*AA170</f>
        <v/>
      </c>
      <c r="AG170" s="426" t="n"/>
      <c r="AH170" s="9" t="n"/>
      <c r="AJ170" s="334" t="n"/>
      <c r="AK170" s="9" t="n"/>
    </row>
    <row r="171" ht="20.25" customHeight="1" s="285">
      <c r="A171" s="175" t="n"/>
      <c r="B171" s="509" t="n"/>
      <c r="C171" s="510" t="inlineStr">
        <is>
          <t>Витражный блок Вн-3 (6100х3870 мм)</t>
        </is>
      </c>
      <c r="D171" s="444" t="n"/>
      <c r="E171" s="444" t="n"/>
      <c r="F171" s="444" t="n"/>
      <c r="G171" s="444" t="n"/>
      <c r="H171" s="444" t="n"/>
      <c r="I171" s="444" t="n"/>
      <c r="J171" s="341" t="n"/>
      <c r="K171" s="511" t="n"/>
      <c r="L171" s="60" t="inlineStr">
        <is>
          <t>м2</t>
        </is>
      </c>
      <c r="M171" s="512" t="n"/>
      <c r="N171" s="449" t="n"/>
      <c r="O171" s="450" t="n"/>
      <c r="P171" s="450" t="n"/>
      <c r="Q171" s="450" t="n"/>
      <c r="R171" s="450" t="n"/>
      <c r="S171" s="450" t="n"/>
      <c r="T171" s="450" t="n"/>
      <c r="U171" s="451" t="n"/>
      <c r="V171" s="513" t="n"/>
      <c r="W171" s="444" t="n"/>
      <c r="X171" s="444" t="n"/>
      <c r="Y171" s="444" t="n"/>
      <c r="Z171" s="341" t="n"/>
      <c r="AA171" s="179" t="n"/>
      <c r="AB171" s="179" t="n">
        <v>19734.44</v>
      </c>
      <c r="AC171" s="513" t="n"/>
      <c r="AD171" s="444" t="n"/>
      <c r="AE171" s="341" t="n"/>
      <c r="AF171" s="179" t="n"/>
      <c r="AG171" s="514">
        <f>AB171*N170</f>
        <v/>
      </c>
      <c r="AH171" s="9" t="n"/>
      <c r="AJ171" s="334" t="n"/>
      <c r="AK171" s="9" t="n"/>
    </row>
    <row r="172" ht="80" customHeight="1" s="285">
      <c r="A172" s="174" t="n">
        <v>4</v>
      </c>
      <c r="B172" s="507" t="inlineStr">
        <is>
          <t>Изготовление и монтаж витража Вн-4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72" s="444" t="n"/>
      <c r="D172" s="444" t="n"/>
      <c r="E172" s="444" t="n"/>
      <c r="F172" s="444" t="n"/>
      <c r="G172" s="444" t="n"/>
      <c r="H172" s="444" t="n"/>
      <c r="I172" s="444" t="n"/>
      <c r="J172" s="341" t="n"/>
      <c r="K172" s="141" t="n"/>
      <c r="L172" s="142" t="n"/>
      <c r="M172" s="143" t="n"/>
      <c r="N172" s="508">
        <f>ROUND(18.74*0.7,2)</f>
        <v/>
      </c>
      <c r="O172" s="447" t="n"/>
      <c r="P172" s="447" t="n"/>
      <c r="Q172" s="447" t="n"/>
      <c r="R172" s="447" t="n"/>
      <c r="S172" s="447" t="n"/>
      <c r="T172" s="447" t="n"/>
      <c r="U172" s="448" t="n"/>
      <c r="V172" s="425">
        <f>AA172+AB173</f>
        <v/>
      </c>
      <c r="W172" s="444" t="n"/>
      <c r="X172" s="444" t="n"/>
      <c r="Y172" s="444" t="n"/>
      <c r="Z172" s="341" t="n"/>
      <c r="AA172" s="177" t="n">
        <v>2966</v>
      </c>
      <c r="AB172" s="177" t="n"/>
      <c r="AC172" s="425">
        <f>AF172+AG173</f>
        <v/>
      </c>
      <c r="AD172" s="444" t="n"/>
      <c r="AE172" s="341" t="n"/>
      <c r="AF172" s="177">
        <f>N172*AA172</f>
        <v/>
      </c>
      <c r="AG172" s="426" t="n"/>
      <c r="AH172" s="9" t="n"/>
      <c r="AJ172" s="334" t="n"/>
      <c r="AK172" s="9" t="n"/>
    </row>
    <row r="173" ht="20.25" customHeight="1" s="285">
      <c r="A173" s="175" t="n"/>
      <c r="B173" s="509" t="n"/>
      <c r="C173" s="510" t="inlineStr">
        <is>
          <t>Витражный блок Вн-4 (5400х3470 мм)</t>
        </is>
      </c>
      <c r="D173" s="444" t="n"/>
      <c r="E173" s="444" t="n"/>
      <c r="F173" s="444" t="n"/>
      <c r="G173" s="444" t="n"/>
      <c r="H173" s="444" t="n"/>
      <c r="I173" s="444" t="n"/>
      <c r="J173" s="341" t="n"/>
      <c r="K173" s="511" t="n"/>
      <c r="L173" s="60" t="inlineStr">
        <is>
          <t>м2</t>
        </is>
      </c>
      <c r="M173" s="512" t="n"/>
      <c r="N173" s="449" t="n"/>
      <c r="O173" s="450" t="n"/>
      <c r="P173" s="450" t="n"/>
      <c r="Q173" s="450" t="n"/>
      <c r="R173" s="450" t="n"/>
      <c r="S173" s="450" t="n"/>
      <c r="T173" s="450" t="n"/>
      <c r="U173" s="451" t="n"/>
      <c r="V173" s="513" t="n"/>
      <c r="W173" s="444" t="n"/>
      <c r="X173" s="444" t="n"/>
      <c r="Y173" s="444" t="n"/>
      <c r="Z173" s="341" t="n"/>
      <c r="AA173" s="179" t="n"/>
      <c r="AB173" s="179" t="n">
        <v>19734.44</v>
      </c>
      <c r="AC173" s="513" t="n"/>
      <c r="AD173" s="444" t="n"/>
      <c r="AE173" s="341" t="n"/>
      <c r="AF173" s="179" t="n"/>
      <c r="AG173" s="514">
        <f>AB173*N172</f>
        <v/>
      </c>
      <c r="AH173" s="9" t="n"/>
      <c r="AJ173" s="334" t="n"/>
      <c r="AK173" s="9" t="n"/>
    </row>
    <row r="174" ht="80" customHeight="1" s="285">
      <c r="A174" s="174" t="n">
        <v>5</v>
      </c>
      <c r="B174" s="507" t="inlineStr">
        <is>
          <t>Изготовление и монтаж витража Вн-5 остекленного из алюминиевого профиля  (ширина 62 мм ГОСТ 21519-2022,  ГОСТ 22233-2001. Индивидуального изготовления).  Цвет профиля -  RAL 7024 (матовый графитовый серый). Витраж без открывания. Открывание дверей наружу,  Заполнение -  не менее 24мм. 4LH Solar Silver-16-4M1. С приведенным сопротивлением теплопередаче не менее 0,56м2 С/Вт. C фурнитурой дверей произв. Dorma.</t>
        </is>
      </c>
      <c r="C174" s="444" t="n"/>
      <c r="D174" s="444" t="n"/>
      <c r="E174" s="444" t="n"/>
      <c r="F174" s="444" t="n"/>
      <c r="G174" s="444" t="n"/>
      <c r="H174" s="444" t="n"/>
      <c r="I174" s="444" t="n"/>
      <c r="J174" s="341" t="n"/>
      <c r="K174" s="141" t="n"/>
      <c r="L174" s="142" t="n"/>
      <c r="M174" s="143" t="n"/>
      <c r="N174" s="508">
        <f>ROUND(26.52*0.7,2)</f>
        <v/>
      </c>
      <c r="O174" s="447" t="n"/>
      <c r="P174" s="447" t="n"/>
      <c r="Q174" s="447" t="n"/>
      <c r="R174" s="447" t="n"/>
      <c r="S174" s="447" t="n"/>
      <c r="T174" s="447" t="n"/>
      <c r="U174" s="448" t="n"/>
      <c r="V174" s="425">
        <f>AA174+AB175</f>
        <v/>
      </c>
      <c r="W174" s="444" t="n"/>
      <c r="X174" s="444" t="n"/>
      <c r="Y174" s="444" t="n"/>
      <c r="Z174" s="341" t="n"/>
      <c r="AA174" s="177" t="n">
        <v>2966</v>
      </c>
      <c r="AB174" s="177" t="n"/>
      <c r="AC174" s="425">
        <f>AF174+AG175</f>
        <v/>
      </c>
      <c r="AD174" s="444" t="n"/>
      <c r="AE174" s="341" t="n"/>
      <c r="AF174" s="177">
        <f>N174*AA174</f>
        <v/>
      </c>
      <c r="AG174" s="426" t="n"/>
      <c r="AH174" s="9" t="n"/>
      <c r="AJ174" s="334" t="n"/>
      <c r="AK174" s="9" t="n"/>
    </row>
    <row r="175" ht="20.25" customHeight="1" s="285">
      <c r="A175" s="175" t="n"/>
      <c r="B175" s="509" t="n"/>
      <c r="C175" s="510" t="inlineStr">
        <is>
          <t>Витражный блок Вн-5 (7800х3470 мм)</t>
        </is>
      </c>
      <c r="D175" s="444" t="n"/>
      <c r="E175" s="444" t="n"/>
      <c r="F175" s="444" t="n"/>
      <c r="G175" s="444" t="n"/>
      <c r="H175" s="444" t="n"/>
      <c r="I175" s="444" t="n"/>
      <c r="J175" s="341" t="n"/>
      <c r="K175" s="511" t="n"/>
      <c r="L175" s="60" t="inlineStr">
        <is>
          <t>м2</t>
        </is>
      </c>
      <c r="M175" s="512" t="n"/>
      <c r="N175" s="449" t="n"/>
      <c r="O175" s="450" t="n"/>
      <c r="P175" s="450" t="n"/>
      <c r="Q175" s="450" t="n"/>
      <c r="R175" s="450" t="n"/>
      <c r="S175" s="450" t="n"/>
      <c r="T175" s="450" t="n"/>
      <c r="U175" s="451" t="n"/>
      <c r="V175" s="513" t="n"/>
      <c r="W175" s="444" t="n"/>
      <c r="X175" s="444" t="n"/>
      <c r="Y175" s="444" t="n"/>
      <c r="Z175" s="341" t="n"/>
      <c r="AA175" s="179" t="n"/>
      <c r="AB175" s="179" t="n">
        <v>19734.44</v>
      </c>
      <c r="AC175" s="513" t="n"/>
      <c r="AD175" s="444" t="n"/>
      <c r="AE175" s="341" t="n"/>
      <c r="AF175" s="179" t="n"/>
      <c r="AG175" s="514">
        <f>AB175*N174</f>
        <v/>
      </c>
      <c r="AH175" s="9" t="n"/>
      <c r="AJ175" s="334" t="n"/>
      <c r="AK175" s="9" t="n"/>
    </row>
    <row r="176" ht="15.75" customHeight="1" s="285">
      <c r="A176" s="371" t="n"/>
      <c r="B176" s="444" t="n"/>
      <c r="C176" s="416" t="n"/>
      <c r="D176" s="444" t="n"/>
      <c r="E176" s="444" t="n"/>
      <c r="F176" s="444" t="n"/>
      <c r="G176" s="444" t="n"/>
      <c r="H176" s="444" t="n"/>
      <c r="I176" s="444" t="n"/>
      <c r="J176" s="444" t="n"/>
      <c r="K176" s="136" t="n"/>
      <c r="L176" s="176" t="inlineStr">
        <is>
          <t>м2</t>
        </is>
      </c>
      <c r="M176" s="137" t="n"/>
      <c r="N176" s="417" t="n"/>
      <c r="O176" s="444" t="n"/>
      <c r="P176" s="444" t="n"/>
      <c r="Q176" s="343" t="n"/>
      <c r="R176" s="427">
        <f>SUM(N165:U175)</f>
        <v/>
      </c>
      <c r="S176" s="444" t="n"/>
      <c r="T176" s="444" t="n"/>
      <c r="U176" s="444" t="n"/>
      <c r="V176" s="344" t="n"/>
      <c r="W176" s="444" t="n"/>
      <c r="X176" s="444" t="n"/>
      <c r="Y176" s="444" t="n"/>
      <c r="Z176" s="444" t="n"/>
      <c r="AA176" s="344" t="n"/>
      <c r="AB176" s="344" t="n"/>
      <c r="AC176" s="428">
        <f>SUM(AC165:AE175)</f>
        <v/>
      </c>
      <c r="AD176" s="444" t="n"/>
      <c r="AE176" s="444" t="n"/>
      <c r="AF176" s="345" t="n"/>
      <c r="AG176" s="346" t="n"/>
      <c r="AH176" s="9" t="n"/>
      <c r="AJ176" s="334" t="n"/>
      <c r="AK176" s="9" t="n"/>
    </row>
    <row r="177" ht="25.5" customHeight="1" s="285">
      <c r="B177" s="207" t="n"/>
      <c r="C177" s="207" t="n"/>
      <c r="D177" s="207" t="n"/>
      <c r="E177" s="207" t="n"/>
      <c r="F177" s="207" t="n"/>
      <c r="G177" s="207" t="n"/>
      <c r="H177" s="207" t="n"/>
      <c r="I177" s="207" t="n"/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8" t="n"/>
      <c r="AA177" s="204" t="inlineStr">
        <is>
          <t>Итого по акту:</t>
        </is>
      </c>
      <c r="AB177" s="209">
        <f>R61+R87+R111+R141+R163+R176</f>
        <v/>
      </c>
      <c r="AC177" s="210" t="inlineStr">
        <is>
          <t>м2</t>
        </is>
      </c>
      <c r="AD177" s="203" t="n"/>
      <c r="AE177" s="211" t="n"/>
      <c r="AF177" s="211" t="n"/>
      <c r="AG177" s="212">
        <f>AC61+AC87+AC111+AC141+AC163+AC176</f>
        <v/>
      </c>
      <c r="AR177" s="43" t="n"/>
    </row>
    <row r="178" ht="25.5" customHeight="1" s="285">
      <c r="B178" s="205" t="n"/>
      <c r="C178" s="205" t="n"/>
      <c r="D178" s="205" t="n"/>
      <c r="E178" s="205" t="n"/>
      <c r="F178" s="205" t="n"/>
      <c r="G178" s="205" t="n"/>
      <c r="H178" s="205" t="n"/>
      <c r="I178" s="205" t="n"/>
      <c r="J178" s="205" t="n"/>
      <c r="K178" s="205" t="n"/>
      <c r="L178" s="205" t="n"/>
      <c r="M178" s="205" t="n"/>
      <c r="N178" s="205" t="n"/>
      <c r="O178" s="205" t="n"/>
      <c r="P178" s="205" t="n"/>
      <c r="Q178" s="205" t="n"/>
      <c r="R178" s="205" t="n"/>
      <c r="S178" s="205" t="n"/>
      <c r="T178" s="205" t="n"/>
      <c r="U178" s="205" t="n"/>
      <c r="V178" s="205" t="n"/>
      <c r="W178" s="205" t="n"/>
      <c r="X178" s="205" t="n"/>
      <c r="Y178" s="205" t="n"/>
      <c r="Z178" s="206" t="n"/>
      <c r="AA178" s="72" t="inlineStr">
        <is>
          <t>в т.ч. стоимость материалов поставки Генподрядчика</t>
        </is>
      </c>
      <c r="AB178" s="72" t="n"/>
      <c r="AC178" s="67" t="n"/>
      <c r="AD178" s="199" t="n"/>
      <c r="AE178" s="199" t="n"/>
      <c r="AF178" s="199" t="n"/>
      <c r="AG178" s="200" t="inlineStr">
        <is>
          <t>-</t>
        </is>
      </c>
    </row>
    <row r="179" ht="24" customHeight="1" s="285">
      <c r="B179" s="205" t="n"/>
      <c r="C179" s="205" t="n"/>
      <c r="D179" s="205" t="n"/>
      <c r="E179" s="205" t="n"/>
      <c r="F179" s="205" t="n"/>
      <c r="G179" s="205" t="n"/>
      <c r="H179" s="205" t="n"/>
      <c r="I179" s="205" t="n"/>
      <c r="J179" s="205" t="n"/>
      <c r="K179" s="205" t="n"/>
      <c r="L179" s="205" t="n"/>
      <c r="M179" s="205" t="n"/>
      <c r="N179" s="205" t="n"/>
      <c r="O179" s="205" t="n"/>
      <c r="P179" s="205" t="n"/>
      <c r="Q179" s="205" t="n"/>
      <c r="R179" s="205" t="n"/>
      <c r="S179" s="205" t="n"/>
      <c r="T179" s="205" t="n"/>
      <c r="U179" s="205" t="n"/>
      <c r="V179" s="205" t="n"/>
      <c r="W179" s="205" t="n"/>
      <c r="X179" s="205" t="n"/>
      <c r="Y179" s="205" t="n"/>
      <c r="Z179" s="206" t="n"/>
      <c r="AA179" s="72" t="inlineStr">
        <is>
          <t>ВСЕГО без НДС</t>
        </is>
      </c>
      <c r="AB179" s="72" t="n"/>
      <c r="AC179" s="67" t="n"/>
      <c r="AD179" s="199" t="n"/>
      <c r="AE179" s="199" t="n"/>
      <c r="AF179" s="199" t="n"/>
      <c r="AG179" s="200">
        <f>AG177/1.22</f>
        <v/>
      </c>
      <c r="AR179" s="43" t="n"/>
    </row>
    <row r="180" ht="24" customHeight="1" s="285">
      <c r="B180" s="205" t="n"/>
      <c r="C180" s="205" t="n"/>
      <c r="D180" s="205" t="n"/>
      <c r="E180" s="205" t="n"/>
      <c r="F180" s="205" t="n"/>
      <c r="G180" s="205" t="n"/>
      <c r="H180" s="205" t="n"/>
      <c r="I180" s="205" t="n"/>
      <c r="J180" s="205" t="n"/>
      <c r="K180" s="205" t="n"/>
      <c r="L180" s="205" t="n"/>
      <c r="M180" s="205" t="n"/>
      <c r="N180" s="205" t="n"/>
      <c r="O180" s="205" t="n"/>
      <c r="P180" s="205" t="n"/>
      <c r="Q180" s="205" t="n"/>
      <c r="R180" s="205" t="n"/>
      <c r="S180" s="205" t="n"/>
      <c r="T180" s="205" t="n"/>
      <c r="U180" s="205" t="n"/>
      <c r="V180" s="205" t="n"/>
      <c r="W180" s="205" t="n"/>
      <c r="X180" s="205" t="n"/>
      <c r="Y180" s="205" t="n"/>
      <c r="Z180" s="206" t="n"/>
      <c r="AA180" s="72" t="inlineStr">
        <is>
          <t>Всего с НДС</t>
        </is>
      </c>
      <c r="AB180" s="72" t="n"/>
      <c r="AC180" s="67" t="n"/>
      <c r="AD180" s="199" t="n"/>
      <c r="AE180" s="199" t="n"/>
      <c r="AF180" s="199" t="n"/>
      <c r="AG180" s="200">
        <f>AG177</f>
        <v/>
      </c>
      <c r="AH180" s="213" t="n"/>
      <c r="AI180" s="67" t="n"/>
      <c r="AJ180" s="214" t="n"/>
      <c r="AK180" s="215" t="n"/>
      <c r="AL180" s="67" t="n"/>
      <c r="AM180" s="67" t="n"/>
      <c r="AN180" s="67" t="n"/>
      <c r="AO180" s="67" t="n"/>
      <c r="AP180" s="216" t="n"/>
      <c r="AR180" s="43" t="n"/>
    </row>
    <row r="181" ht="24" customHeight="1" s="285">
      <c r="B181" s="205" t="n"/>
      <c r="C181" s="205" t="n"/>
      <c r="D181" s="205" t="n"/>
      <c r="E181" s="205" t="n"/>
      <c r="F181" s="205" t="n"/>
      <c r="G181" s="205" t="n"/>
      <c r="H181" s="205" t="n"/>
      <c r="I181" s="205" t="n"/>
      <c r="J181" s="205" t="n"/>
      <c r="K181" s="205" t="n"/>
      <c r="L181" s="205" t="n"/>
      <c r="M181" s="205" t="n"/>
      <c r="N181" s="205" t="n"/>
      <c r="O181" s="205" t="n"/>
      <c r="P181" s="205" t="n"/>
      <c r="Q181" s="205" t="n"/>
      <c r="R181" s="205" t="n"/>
      <c r="S181" s="205" t="n"/>
      <c r="T181" s="205" t="n"/>
      <c r="U181" s="205" t="n"/>
      <c r="V181" s="205" t="n"/>
      <c r="W181" s="205" t="n"/>
      <c r="X181" s="205" t="n"/>
      <c r="Y181" s="205" t="n"/>
      <c r="Z181" s="206" t="n"/>
      <c r="AA181" s="72" t="inlineStr">
        <is>
          <t>в том числе НДС 22%</t>
        </is>
      </c>
      <c r="AB181" s="72" t="n"/>
      <c r="AC181" s="67" t="n"/>
      <c r="AD181" s="199" t="n"/>
      <c r="AE181" s="199" t="n"/>
      <c r="AF181" s="199" t="n"/>
      <c r="AG181" s="200">
        <f>AG180-AG179</f>
        <v/>
      </c>
      <c r="AR181" s="43" t="n"/>
    </row>
    <row r="182" ht="6" customHeight="1" s="285"/>
    <row r="183" ht="11.25" customHeight="1" s="285"/>
    <row r="184" ht="11.25" customHeight="1" s="285"/>
    <row r="185" ht="11.25" customHeight="1" s="285"/>
    <row r="186" ht="24" customHeight="1" s="285">
      <c r="A186" s="348" t="n"/>
      <c r="B186" s="32" t="inlineStr">
        <is>
          <t>Сдал:</t>
        </is>
      </c>
      <c r="C186" s="24" t="n"/>
      <c r="D186" s="24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  <c r="AD186" s="25" t="n"/>
      <c r="AE186" s="25" t="n"/>
      <c r="AF186" s="515" t="n"/>
      <c r="AG186" s="25" t="n"/>
      <c r="AH186" s="5" t="n"/>
    </row>
    <row r="187" ht="24" customHeight="1" s="285">
      <c r="A187" s="56" t="n"/>
      <c r="B187" s="516" t="inlineStr">
        <is>
          <t>Подрядчик:  Представитель по доверенности ООО «Новая оконная компания»</t>
        </is>
      </c>
      <c r="L187" s="517" t="n"/>
      <c r="M187" s="450" t="n"/>
      <c r="N187" s="450" t="n"/>
      <c r="O187" s="450" t="n"/>
      <c r="P187" s="450" t="n"/>
      <c r="Q187" s="450" t="n"/>
      <c r="R187" s="450" t="n"/>
      <c r="S187" s="518" t="n"/>
      <c r="T187" s="519" t="inlineStr">
        <is>
          <t xml:space="preserve">А.А. Лазарев </t>
        </is>
      </c>
    </row>
    <row r="188" ht="24" customHeight="1" s="285">
      <c r="A188" s="348" t="n"/>
      <c r="B188" s="24" t="n"/>
      <c r="C188" s="24" t="n"/>
      <c r="D188" s="24" t="n"/>
      <c r="K188" s="37" t="inlineStr">
        <is>
          <t>м.п.</t>
        </is>
      </c>
      <c r="L188" s="402" t="inlineStr">
        <is>
          <t>(Подпись)</t>
        </is>
      </c>
      <c r="M188" s="447" t="n"/>
      <c r="N188" s="447" t="n"/>
      <c r="O188" s="447" t="n"/>
      <c r="P188" s="447" t="n"/>
      <c r="Q188" s="447" t="n"/>
      <c r="R188" s="447" t="n"/>
      <c r="AH188" s="5" t="n"/>
    </row>
    <row r="189" ht="24" customHeight="1" s="285">
      <c r="A189" s="348" t="n"/>
      <c r="B189" s="24" t="inlineStr">
        <is>
          <t>Доверенность № 03-НОК-26 от 01.01.2026г.</t>
        </is>
      </c>
      <c r="C189" s="24" t="n"/>
      <c r="D189" s="24" t="n"/>
      <c r="K189" s="37" t="n"/>
      <c r="L189" s="411" t="n"/>
      <c r="M189" s="411" t="n"/>
      <c r="N189" s="411" t="n"/>
      <c r="O189" s="411" t="n"/>
      <c r="P189" s="411" t="n"/>
      <c r="Q189" s="411" t="n"/>
      <c r="R189" s="411" t="n"/>
      <c r="AH189" s="5" t="n"/>
    </row>
    <row r="190" ht="24" customHeight="1" s="285">
      <c r="A190" s="348" t="n"/>
      <c r="B190" s="24" t="n"/>
      <c r="C190" s="24" t="n"/>
      <c r="D190" s="24" t="n"/>
      <c r="K190" s="24" t="n"/>
      <c r="L190" s="24" t="n"/>
      <c r="M190" s="412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  <c r="AA190" s="27" t="n"/>
      <c r="AB190" s="27" t="n"/>
      <c r="AC190" s="27" t="n"/>
      <c r="AD190" s="27" t="n"/>
      <c r="AE190" s="27" t="n"/>
      <c r="AF190" s="27" t="n"/>
      <c r="AG190" s="27" t="n"/>
      <c r="AH190" s="5" t="n"/>
    </row>
    <row r="191" ht="15.75" customHeight="1" s="285">
      <c r="A191" s="348" t="n"/>
      <c r="B191" s="33" t="inlineStr">
        <is>
          <t>Принял:</t>
        </is>
      </c>
      <c r="C191" s="30" t="n"/>
      <c r="D191" s="30" t="n"/>
      <c r="E191" s="44" t="n"/>
      <c r="G191" s="44" t="n"/>
      <c r="H191" s="44" t="n"/>
      <c r="I191" s="44" t="n"/>
      <c r="J191" s="44" t="n"/>
      <c r="K191" s="28" t="n"/>
      <c r="L191" s="28" t="n"/>
      <c r="M191" s="28" t="n"/>
      <c r="N191" s="28" t="n"/>
      <c r="O191" s="28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5" t="n"/>
      <c r="AD191" s="45" t="n"/>
      <c r="AE191" s="45" t="n"/>
      <c r="AF191" s="45" t="n"/>
      <c r="AG191" s="45" t="n"/>
      <c r="AH191" s="5" t="n"/>
    </row>
    <row r="192" ht="15.75" customHeight="1" s="285">
      <c r="A192" s="348" t="n"/>
      <c r="B192" s="406" t="inlineStr">
        <is>
          <t>Генподрядчик: ООО "Плутос" Представитель по доверенности</t>
        </is>
      </c>
      <c r="L192" s="407" t="n"/>
      <c r="M192" s="450" t="n"/>
      <c r="N192" s="450" t="n"/>
      <c r="O192" s="450" t="n"/>
      <c r="P192" s="450" t="n"/>
      <c r="Q192" s="450" t="n"/>
      <c r="R192" s="450" t="n"/>
      <c r="T192" s="408" t="inlineStr">
        <is>
          <t>В.А. Иваненко</t>
        </is>
      </c>
      <c r="AH192" s="5" t="n"/>
    </row>
    <row r="193" ht="15.75" customHeight="1" s="285">
      <c r="A193" s="348" t="n"/>
      <c r="B193" s="401" t="n"/>
      <c r="K193" s="37" t="inlineStr">
        <is>
          <t>м.п.</t>
        </is>
      </c>
      <c r="L193" s="402" t="inlineStr">
        <is>
          <t>(Подпись)</t>
        </is>
      </c>
      <c r="M193" s="447" t="n"/>
      <c r="N193" s="447" t="n"/>
      <c r="O193" s="447" t="n"/>
      <c r="P193" s="447" t="n"/>
      <c r="Q193" s="447" t="n"/>
      <c r="R193" s="447" t="n"/>
      <c r="AG193" s="348" t="n"/>
      <c r="AH193" s="5" t="n"/>
    </row>
    <row r="194" ht="11.25" customHeight="1" s="285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26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I194" s="5" t="n"/>
      <c r="AJ194" s="7" t="n"/>
      <c r="AK194" s="412" t="n"/>
      <c r="AL194" s="5" t="n"/>
      <c r="AM194" s="5" t="n"/>
      <c r="AN194" s="5" t="n"/>
      <c r="AO194" s="5" t="n"/>
      <c r="AP194" s="5" t="n"/>
      <c r="AQ194" s="5" t="n"/>
    </row>
    <row r="195" ht="11.25" customHeight="1" s="28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I195" s="5" t="n"/>
      <c r="AJ195" s="7" t="n"/>
      <c r="AK195" s="412" t="n"/>
      <c r="AL195" s="5" t="n"/>
      <c r="AM195" s="5" t="n"/>
      <c r="AN195" s="5" t="n"/>
      <c r="AO195" s="5" t="n"/>
      <c r="AP195" s="5" t="n"/>
      <c r="AQ195" s="5" t="n"/>
    </row>
    <row r="196" ht="15.75" customHeight="1" s="285">
      <c r="A196" s="5" t="n"/>
      <c r="B196" s="412" t="inlineStr">
        <is>
          <t>Руководитель проекта</t>
        </is>
      </c>
      <c r="L196" s="407" t="n"/>
      <c r="M196" s="450" t="n"/>
      <c r="N196" s="450" t="n"/>
      <c r="O196" s="450" t="n"/>
      <c r="P196" s="450" t="n"/>
      <c r="Q196" s="450" t="n"/>
      <c r="R196" s="450" t="n"/>
      <c r="S196" s="5" t="n"/>
      <c r="T196" s="408" t="inlineStr">
        <is>
          <t>И.В. Кабаков</t>
        </is>
      </c>
      <c r="AI196" s="5" t="n"/>
      <c r="AJ196" s="7" t="n"/>
      <c r="AK196" s="412" t="n"/>
      <c r="AL196" s="5" t="n"/>
      <c r="AM196" s="5" t="n"/>
      <c r="AN196" s="5" t="n"/>
      <c r="AO196" s="5" t="n"/>
      <c r="AP196" s="5" t="n"/>
      <c r="AQ196" s="5" t="n"/>
    </row>
    <row r="197" ht="12" customHeight="1" s="285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402" t="inlineStr">
        <is>
          <t>(Подпись)</t>
        </is>
      </c>
      <c r="M197" s="447" t="n"/>
      <c r="N197" s="447" t="n"/>
      <c r="O197" s="447" t="n"/>
      <c r="P197" s="447" t="n"/>
      <c r="Q197" s="447" t="n"/>
      <c r="R197" s="447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7" t="n"/>
      <c r="AF197" s="7" t="n"/>
      <c r="AG197" s="5" t="n"/>
      <c r="AI197" s="5" t="n"/>
      <c r="AJ197" s="7" t="n"/>
      <c r="AK197" s="412" t="n"/>
      <c r="AL197" s="5" t="n"/>
      <c r="AM197" s="5" t="n"/>
      <c r="AN197" s="5" t="n"/>
      <c r="AO197" s="5" t="n"/>
      <c r="AP197" s="5" t="n"/>
      <c r="AQ197" s="5" t="n"/>
    </row>
    <row r="198" ht="12" customHeight="1" s="285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I198" s="5" t="n"/>
      <c r="AJ198" s="7" t="n"/>
      <c r="AK198" s="412" t="n"/>
      <c r="AL198" s="5" t="n"/>
      <c r="AM198" s="5" t="n"/>
      <c r="AN198" s="5" t="n"/>
      <c r="AO198" s="5" t="n"/>
      <c r="AP198" s="5" t="n"/>
      <c r="AQ198" s="5" t="n"/>
    </row>
    <row r="199" ht="15.75" customHeight="1" s="285">
      <c r="A199" s="5" t="n"/>
      <c r="B199" s="412" t="inlineStr">
        <is>
          <t>Начальник СДО: Проверил соответствие выполненных работ сметной документации</t>
        </is>
      </c>
      <c r="L199" s="407" t="n"/>
      <c r="M199" s="450" t="n"/>
      <c r="N199" s="450" t="n"/>
      <c r="O199" s="450" t="n"/>
      <c r="P199" s="450" t="n"/>
      <c r="Q199" s="450" t="n"/>
      <c r="R199" s="450" t="n"/>
      <c r="S199" s="5" t="n"/>
      <c r="T199" s="408" t="inlineStr">
        <is>
          <t>И.Е. Довгая</t>
        </is>
      </c>
      <c r="AI199" s="5" t="n"/>
      <c r="AJ199" s="7" t="n"/>
      <c r="AK199" s="412" t="n"/>
      <c r="AL199" s="5" t="n"/>
      <c r="AM199" s="5" t="n"/>
      <c r="AN199" s="5" t="n"/>
      <c r="AO199" s="5" t="n"/>
      <c r="AP199" s="5" t="n"/>
      <c r="AQ199" s="5" t="n"/>
    </row>
    <row r="200" s="285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402" t="inlineStr">
        <is>
          <t>(Подпись)</t>
        </is>
      </c>
      <c r="M200" s="447" t="n"/>
      <c r="N200" s="447" t="n"/>
      <c r="O200" s="447" t="n"/>
      <c r="P200" s="447" t="n"/>
      <c r="Q200" s="447" t="n"/>
      <c r="R200" s="447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7" t="n"/>
      <c r="AF200" s="7" t="n"/>
      <c r="AG200" s="5" t="n"/>
      <c r="AI200" s="5" t="n"/>
      <c r="AJ200" s="7" t="n"/>
      <c r="AK200" s="412" t="n"/>
      <c r="AL200" s="5" t="n"/>
      <c r="AM200" s="5" t="n"/>
      <c r="AN200" s="5" t="n"/>
      <c r="AO200" s="5" t="n"/>
      <c r="AP200" s="5" t="n"/>
      <c r="AQ200" s="5" t="n"/>
    </row>
    <row r="201" ht="12.75" customHeight="1" s="285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I201" s="5" t="n"/>
      <c r="AJ201" s="7" t="n"/>
      <c r="AK201" s="412" t="n"/>
      <c r="AL201" s="5" t="n"/>
      <c r="AM201" s="5" t="n"/>
      <c r="AN201" s="5" t="n"/>
      <c r="AO201" s="5" t="n"/>
      <c r="AP201" s="5" t="n"/>
      <c r="AQ201" s="5" t="n"/>
    </row>
    <row r="202" ht="15.75" customHeight="1" s="285">
      <c r="A202" s="5" t="n"/>
      <c r="B202" s="412" t="inlineStr">
        <is>
          <t>Инженер сметчик: Проверил соответствие выполненных работ сметной документации</t>
        </is>
      </c>
      <c r="L202" s="407" t="n"/>
      <c r="M202" s="450" t="n"/>
      <c r="N202" s="450" t="n"/>
      <c r="O202" s="450" t="n"/>
      <c r="P202" s="450" t="n"/>
      <c r="Q202" s="450" t="n"/>
      <c r="R202" s="450" t="n"/>
      <c r="S202" s="5" t="n"/>
      <c r="T202" s="408" t="inlineStr">
        <is>
          <t>А.С. Охтенко</t>
        </is>
      </c>
      <c r="AI202" s="5" t="n"/>
      <c r="AJ202" s="7" t="n"/>
      <c r="AK202" s="412" t="n"/>
      <c r="AL202" s="5" t="n"/>
      <c r="AM202" s="5" t="n"/>
      <c r="AN202" s="5" t="n"/>
      <c r="AO202" s="5" t="n"/>
      <c r="AP202" s="5" t="n"/>
      <c r="AQ202" s="5" t="n"/>
    </row>
    <row r="203" s="285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402" t="inlineStr">
        <is>
          <t>(Подпись)</t>
        </is>
      </c>
      <c r="M203" s="447" t="n"/>
      <c r="N203" s="447" t="n"/>
      <c r="O203" s="447" t="n"/>
      <c r="P203" s="447" t="n"/>
      <c r="Q203" s="447" t="n"/>
      <c r="R203" s="447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7" t="n"/>
      <c r="AF203" s="7" t="n"/>
      <c r="AG203" s="5" t="n"/>
      <c r="AI203" s="5" t="n"/>
      <c r="AJ203" s="7" t="n"/>
      <c r="AK203" s="412" t="n"/>
      <c r="AL203" s="5" t="n"/>
      <c r="AM203" s="5" t="n"/>
      <c r="AN203" s="5" t="n"/>
      <c r="AO203" s="5" t="n"/>
      <c r="AP203" s="5" t="n"/>
      <c r="AQ203" s="5" t="n"/>
    </row>
    <row r="204" ht="12" customHeight="1" s="285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I204" s="5" t="n"/>
      <c r="AJ204" s="7" t="n"/>
      <c r="AK204" s="412" t="n"/>
      <c r="AL204" s="5" t="n"/>
      <c r="AM204" s="5" t="n"/>
      <c r="AN204" s="5" t="n"/>
      <c r="AO204" s="5" t="n"/>
      <c r="AP204" s="5" t="n"/>
      <c r="AQ204" s="5" t="n"/>
    </row>
    <row r="205" ht="15.75" customHeight="1" s="285">
      <c r="A205" s="5" t="n"/>
      <c r="B205" s="412" t="inlineStr">
        <is>
          <t>Начальник ПТО: Проверил ИД, соответствие выполненных работ проектной документации</t>
        </is>
      </c>
      <c r="L205" s="407" t="n"/>
      <c r="M205" s="450" t="n"/>
      <c r="N205" s="450" t="n"/>
      <c r="O205" s="450" t="n"/>
      <c r="P205" s="450" t="n"/>
      <c r="Q205" s="450" t="n"/>
      <c r="R205" s="450" t="n"/>
      <c r="S205" s="5" t="n"/>
      <c r="T205" s="408" t="inlineStr">
        <is>
          <t>С.В. Янес</t>
        </is>
      </c>
      <c r="AI205" s="5" t="n"/>
      <c r="AJ205" s="7" t="n"/>
      <c r="AK205" s="412" t="n"/>
      <c r="AL205" s="5" t="n"/>
      <c r="AM205" s="5" t="n"/>
      <c r="AN205" s="5" t="n"/>
      <c r="AO205" s="5" t="n"/>
      <c r="AP205" s="5" t="n"/>
      <c r="AQ205" s="5" t="n"/>
    </row>
    <row r="206" ht="12" customHeight="1" s="285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402" t="inlineStr">
        <is>
          <t>(Подпись)</t>
        </is>
      </c>
      <c r="M206" s="447" t="n"/>
      <c r="N206" s="447" t="n"/>
      <c r="O206" s="447" t="n"/>
      <c r="P206" s="447" t="n"/>
      <c r="Q206" s="447" t="n"/>
      <c r="R206" s="447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7" t="n"/>
      <c r="AF206" s="7" t="n"/>
      <c r="AG206" s="5" t="n"/>
      <c r="AI206" s="5" t="n"/>
      <c r="AJ206" s="7" t="n"/>
      <c r="AK206" s="412" t="n"/>
      <c r="AL206" s="5" t="n"/>
      <c r="AM206" s="5" t="n"/>
      <c r="AN206" s="5" t="n"/>
      <c r="AO206" s="5" t="n"/>
      <c r="AP206" s="5" t="n"/>
      <c r="AQ206" s="5" t="n"/>
    </row>
    <row r="207" ht="12" customHeight="1" s="285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I207" s="5" t="n"/>
      <c r="AJ207" s="7" t="n"/>
      <c r="AK207" s="412" t="n"/>
      <c r="AL207" s="5" t="n"/>
      <c r="AM207" s="5" t="n"/>
      <c r="AN207" s="5" t="n"/>
      <c r="AO207" s="5" t="n"/>
      <c r="AP207" s="5" t="n"/>
      <c r="AQ207" s="5" t="n"/>
    </row>
    <row r="208" ht="15.75" customHeight="1" s="285">
      <c r="A208" s="5" t="n"/>
      <c r="B208" s="412" t="inlineStr">
        <is>
          <t>Инженер ПТО: Проверил соответствие выполненных работ проектной документации, ИД</t>
        </is>
      </c>
      <c r="L208" s="407" t="n"/>
      <c r="M208" s="450" t="n"/>
      <c r="N208" s="450" t="n"/>
      <c r="O208" s="450" t="n"/>
      <c r="P208" s="450" t="n"/>
      <c r="Q208" s="450" t="n"/>
      <c r="R208" s="450" t="n"/>
      <c r="S208" s="5" t="n"/>
      <c r="T208" s="408" t="inlineStr">
        <is>
          <t>А.В. Филипьева</t>
        </is>
      </c>
      <c r="AI208" s="5" t="n"/>
      <c r="AJ208" s="7" t="n"/>
      <c r="AK208" s="412" t="n"/>
      <c r="AL208" s="5" t="n"/>
      <c r="AM208" s="5" t="n"/>
      <c r="AN208" s="5" t="n"/>
      <c r="AO208" s="5" t="n"/>
      <c r="AP208" s="5" t="n"/>
      <c r="AQ208" s="5" t="n"/>
    </row>
    <row r="209" ht="12" customHeight="1" s="285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402" t="inlineStr">
        <is>
          <t>(Подпись)</t>
        </is>
      </c>
      <c r="M209" s="447" t="n"/>
      <c r="N209" s="447" t="n"/>
      <c r="O209" s="447" t="n"/>
      <c r="P209" s="447" t="n"/>
      <c r="Q209" s="447" t="n"/>
      <c r="R209" s="447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7" t="n"/>
      <c r="AF209" s="7" t="n"/>
      <c r="AG209" s="5" t="n"/>
      <c r="AI209" s="5" t="n"/>
      <c r="AJ209" s="7" t="n"/>
      <c r="AK209" s="412" t="n"/>
      <c r="AL209" s="5" t="n"/>
      <c r="AM209" s="5" t="n"/>
      <c r="AN209" s="5" t="n"/>
      <c r="AO209" s="5" t="n"/>
      <c r="AP209" s="5" t="n"/>
      <c r="AQ209" s="5" t="n"/>
    </row>
    <row r="210" ht="12" customHeight="1" s="285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I210" s="5" t="n"/>
      <c r="AJ210" s="7" t="n"/>
      <c r="AK210" s="412" t="n"/>
      <c r="AL210" s="5" t="n"/>
      <c r="AM210" s="5" t="n"/>
      <c r="AN210" s="5" t="n"/>
      <c r="AO210" s="5" t="n"/>
      <c r="AP210" s="5" t="n"/>
      <c r="AQ210" s="5" t="n"/>
    </row>
    <row r="211" ht="15.75" customHeight="1" s="285">
      <c r="A211" s="5" t="n"/>
      <c r="B211" s="401" t="inlineStr">
        <is>
          <t>Нач. Участка ООО "Плутос": Подтверждаю объёмы выполненных работ</t>
        </is>
      </c>
      <c r="L211" s="407" t="n"/>
      <c r="M211" s="450" t="n"/>
      <c r="N211" s="450" t="n"/>
      <c r="O211" s="450" t="n"/>
      <c r="P211" s="450" t="n"/>
      <c r="Q211" s="450" t="n"/>
      <c r="R211" s="450" t="n"/>
      <c r="S211" s="5" t="n"/>
      <c r="T211" s="408" t="inlineStr">
        <is>
          <t>А.В. Коробко</t>
        </is>
      </c>
      <c r="AI211" s="5" t="n"/>
      <c r="AJ211" s="7" t="n"/>
      <c r="AK211" s="412" t="n"/>
      <c r="AL211" s="5" t="n"/>
      <c r="AM211" s="5" t="n"/>
      <c r="AN211" s="5" t="n"/>
      <c r="AO211" s="5" t="n"/>
      <c r="AP211" s="5" t="n"/>
      <c r="AQ211" s="5" t="n"/>
    </row>
    <row r="212" ht="12" customHeight="1" s="285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402" t="inlineStr">
        <is>
          <t>(Подпись)</t>
        </is>
      </c>
      <c r="M212" s="447" t="n"/>
      <c r="N212" s="447" t="n"/>
      <c r="O212" s="447" t="n"/>
      <c r="P212" s="447" t="n"/>
      <c r="Q212" s="447" t="n"/>
      <c r="R212" s="447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7" t="n"/>
      <c r="AF212" s="7" t="n"/>
      <c r="AG212" s="5" t="n"/>
      <c r="AI212" s="5" t="n"/>
      <c r="AJ212" s="7" t="n"/>
      <c r="AK212" s="412" t="n"/>
      <c r="AL212" s="5" t="n"/>
      <c r="AM212" s="5" t="n"/>
      <c r="AN212" s="5" t="n"/>
      <c r="AO212" s="5" t="n"/>
      <c r="AP212" s="5" t="n"/>
      <c r="AQ212" s="5" t="n"/>
    </row>
    <row r="213" ht="12" customHeight="1" s="285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I213" s="5" t="n"/>
      <c r="AJ213" s="7" t="n"/>
      <c r="AK213" s="412" t="n"/>
      <c r="AL213" s="5" t="n"/>
      <c r="AM213" s="5" t="n"/>
      <c r="AN213" s="5" t="n"/>
      <c r="AO213" s="5" t="n"/>
      <c r="AP213" s="5" t="n"/>
      <c r="AQ213" s="5" t="n"/>
    </row>
    <row r="214" ht="15.75" customHeight="1" s="285">
      <c r="B214" s="51" t="n"/>
      <c r="C214" s="5" t="n"/>
      <c r="D214" s="5" t="n"/>
      <c r="E214" s="5" t="n"/>
      <c r="F214" s="5" t="n"/>
      <c r="G214" s="5" t="n"/>
      <c r="H214" s="34" t="n"/>
      <c r="I214" s="5" t="n"/>
      <c r="J214" s="5" t="n"/>
      <c r="K214" s="5" t="n"/>
      <c r="L214" s="410" t="n"/>
      <c r="S214" s="5" t="n"/>
      <c r="T214" s="408" t="n"/>
      <c r="AH214" s="6" t="n"/>
      <c r="AJ214" s="7" t="n"/>
      <c r="AK214" s="412" t="n"/>
    </row>
    <row r="215" s="285">
      <c r="H215" s="34" t="n"/>
      <c r="L215" s="411" t="n"/>
      <c r="AE215" s="7" t="n"/>
      <c r="AF215" s="7" t="n"/>
    </row>
    <row r="216" s="285">
      <c r="A216" s="5" t="n"/>
      <c r="B216" s="5" t="n"/>
      <c r="C216" s="5" t="n"/>
      <c r="D216" s="5" t="n"/>
      <c r="E216" s="5" t="n"/>
      <c r="F216" s="5" t="n"/>
      <c r="G216" s="5" t="n"/>
      <c r="H216" s="34" t="n"/>
      <c r="I216" s="5" t="n"/>
      <c r="J216" s="5" t="n"/>
      <c r="K216" s="5" t="n"/>
      <c r="L216" s="411" t="n"/>
      <c r="M216" s="411" t="n"/>
      <c r="N216" s="411" t="n"/>
      <c r="O216" s="411" t="n"/>
      <c r="P216" s="411" t="n"/>
      <c r="Q216" s="411" t="n"/>
      <c r="R216" s="411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7" t="n"/>
      <c r="AF216" s="7" t="n"/>
      <c r="AG216" s="5" t="n"/>
      <c r="AI216" s="5" t="n"/>
      <c r="AJ216" s="7" t="n"/>
      <c r="AK216" s="412" t="n"/>
      <c r="AL216" s="5" t="n"/>
      <c r="AM216" s="5" t="n"/>
      <c r="AN216" s="5" t="n"/>
      <c r="AO216" s="5" t="n"/>
      <c r="AP216" s="5" t="n"/>
      <c r="AQ216" s="5" t="n"/>
    </row>
    <row r="217" s="285">
      <c r="A217" s="5" t="n"/>
      <c r="B217" s="5" t="n"/>
      <c r="C217" s="5" t="n"/>
      <c r="D217" s="5" t="n"/>
      <c r="E217" s="5" t="n"/>
      <c r="F217" s="5" t="n"/>
      <c r="G217" s="5" t="n"/>
      <c r="H217" s="34" t="n"/>
      <c r="I217" s="5" t="n"/>
      <c r="J217" s="5" t="n"/>
      <c r="K217" s="5" t="n"/>
      <c r="L217" s="411" t="n"/>
      <c r="M217" s="411" t="n"/>
      <c r="N217" s="411" t="n"/>
      <c r="O217" s="411" t="n"/>
      <c r="P217" s="411" t="n"/>
      <c r="Q217" s="411" t="n"/>
      <c r="R217" s="411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7" t="n"/>
      <c r="AF217" s="7" t="n"/>
      <c r="AG217" s="5" t="n"/>
      <c r="AI217" s="5" t="n"/>
      <c r="AJ217" s="7" t="n"/>
      <c r="AK217" s="412" t="n"/>
      <c r="AL217" s="5" t="n"/>
      <c r="AM217" s="5" t="n"/>
      <c r="AN217" s="5" t="n"/>
      <c r="AO217" s="5" t="n"/>
      <c r="AP217" s="5" t="n"/>
      <c r="AQ217" s="5" t="n"/>
    </row>
  </sheetData>
  <autoFilter ref="A35:J51"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</autoFilter>
  <mergeCells count="566">
    <mergeCell ref="L202:R202"/>
    <mergeCell ref="N166:U167"/>
    <mergeCell ref="AC162:AE162"/>
    <mergeCell ref="V88:Z88"/>
    <mergeCell ref="N103:U104"/>
    <mergeCell ref="N168:U169"/>
    <mergeCell ref="V117:Z117"/>
    <mergeCell ref="A24:M24"/>
    <mergeCell ref="AE24:AG24"/>
    <mergeCell ref="B64:J64"/>
    <mergeCell ref="C167:J167"/>
    <mergeCell ref="B199:K199"/>
    <mergeCell ref="V83:Z83"/>
    <mergeCell ref="V132:Z132"/>
    <mergeCell ref="V119:Z119"/>
    <mergeCell ref="AC7:AG8"/>
    <mergeCell ref="C169:J169"/>
    <mergeCell ref="N22:R23"/>
    <mergeCell ref="R142:U142"/>
    <mergeCell ref="A62:B62"/>
    <mergeCell ref="AC57:AE57"/>
    <mergeCell ref="AC155:AE155"/>
    <mergeCell ref="N50:U51"/>
    <mergeCell ref="AC146:AE146"/>
    <mergeCell ref="L215:R215"/>
    <mergeCell ref="T208:AG208"/>
    <mergeCell ref="AC121:AE121"/>
    <mergeCell ref="AC86:AE86"/>
    <mergeCell ref="C87:J87"/>
    <mergeCell ref="AC151:AE151"/>
    <mergeCell ref="AC58:AE58"/>
    <mergeCell ref="AC150:AE150"/>
    <mergeCell ref="AC39:AE39"/>
    <mergeCell ref="N116:U117"/>
    <mergeCell ref="V112:Z112"/>
    <mergeCell ref="A61:B61"/>
    <mergeCell ref="C88:J88"/>
    <mergeCell ref="AC3:AG3"/>
    <mergeCell ref="V105:Z105"/>
    <mergeCell ref="N118:U119"/>
    <mergeCell ref="C117:J117"/>
    <mergeCell ref="V107:Z107"/>
    <mergeCell ref="N31:U34"/>
    <mergeCell ref="N70:U71"/>
    <mergeCell ref="C115:J115"/>
    <mergeCell ref="AC70:AE70"/>
    <mergeCell ref="V138:Z138"/>
    <mergeCell ref="B153:J153"/>
    <mergeCell ref="V104:Z104"/>
    <mergeCell ref="B72:J72"/>
    <mergeCell ref="AC134:AE134"/>
    <mergeCell ref="AC170:AE170"/>
    <mergeCell ref="S22:Y23"/>
    <mergeCell ref="N46:U47"/>
    <mergeCell ref="AC71:AE71"/>
    <mergeCell ref="V133:Z133"/>
    <mergeCell ref="AC163:AE163"/>
    <mergeCell ref="AC101:AE101"/>
    <mergeCell ref="N35:U35"/>
    <mergeCell ref="B42:J42"/>
    <mergeCell ref="V135:Z135"/>
    <mergeCell ref="A36:B36"/>
    <mergeCell ref="V31:AG31"/>
    <mergeCell ref="B148:J148"/>
    <mergeCell ref="AC62:AG62"/>
    <mergeCell ref="N111:P111"/>
    <mergeCell ref="B44:J44"/>
    <mergeCell ref="L31:M34"/>
    <mergeCell ref="AC18:AG18"/>
    <mergeCell ref="AC85:AE85"/>
    <mergeCell ref="AC60:AE60"/>
    <mergeCell ref="V59:Z59"/>
    <mergeCell ref="N124:U125"/>
    <mergeCell ref="C134:J134"/>
    <mergeCell ref="B83:J83"/>
    <mergeCell ref="V40:Z40"/>
    <mergeCell ref="T211:AG211"/>
    <mergeCell ref="N139:U140"/>
    <mergeCell ref="N55:U56"/>
    <mergeCell ref="N126:U127"/>
    <mergeCell ref="V51:Z51"/>
    <mergeCell ref="B85:J85"/>
    <mergeCell ref="V153:Z153"/>
    <mergeCell ref="V4:AB4"/>
    <mergeCell ref="C138:J138"/>
    <mergeCell ref="L205:R205"/>
    <mergeCell ref="C132:J132"/>
    <mergeCell ref="V128:Z128"/>
    <mergeCell ref="C119:J119"/>
    <mergeCell ref="V146:Z146"/>
    <mergeCell ref="R36:U36"/>
    <mergeCell ref="B159:J159"/>
    <mergeCell ref="R163:U163"/>
    <mergeCell ref="B96:J96"/>
    <mergeCell ref="B161:J161"/>
    <mergeCell ref="V32:AB32"/>
    <mergeCell ref="L211:R211"/>
    <mergeCell ref="AC107:AE107"/>
    <mergeCell ref="B211:K211"/>
    <mergeCell ref="C108:J108"/>
    <mergeCell ref="Q16:AB17"/>
    <mergeCell ref="N61:P61"/>
    <mergeCell ref="AC79:AE79"/>
    <mergeCell ref="AC73:AE73"/>
    <mergeCell ref="V141:Z141"/>
    <mergeCell ref="C45:J45"/>
    <mergeCell ref="AC171:AE171"/>
    <mergeCell ref="V35:Z35"/>
    <mergeCell ref="N137:U138"/>
    <mergeCell ref="V72:Z72"/>
    <mergeCell ref="C47:J47"/>
    <mergeCell ref="N74:U75"/>
    <mergeCell ref="V99:Z99"/>
    <mergeCell ref="AC102:AE102"/>
    <mergeCell ref="AC173:AE173"/>
    <mergeCell ref="C84:J84"/>
    <mergeCell ref="V136:Z136"/>
    <mergeCell ref="AC88:AG88"/>
    <mergeCell ref="R87:U87"/>
    <mergeCell ref="C51:J51"/>
    <mergeCell ref="AC33:AE34"/>
    <mergeCell ref="Z23:AD23"/>
    <mergeCell ref="N101:U102"/>
    <mergeCell ref="N174:U175"/>
    <mergeCell ref="V125:Z125"/>
    <mergeCell ref="B155:J155"/>
    <mergeCell ref="V90:Z90"/>
    <mergeCell ref="V65:Z65"/>
    <mergeCell ref="C140:J140"/>
    <mergeCell ref="V62:Z62"/>
    <mergeCell ref="AC92:AE92"/>
    <mergeCell ref="V56:Z56"/>
    <mergeCell ref="V154:Z154"/>
    <mergeCell ref="AC67:AE67"/>
    <mergeCell ref="V43:Z43"/>
    <mergeCell ref="C77:J77"/>
    <mergeCell ref="V129:Z129"/>
    <mergeCell ref="B101:J101"/>
    <mergeCell ref="AC11:AG13"/>
    <mergeCell ref="AE23:AG23"/>
    <mergeCell ref="L192:R192"/>
    <mergeCell ref="V156:Z156"/>
    <mergeCell ref="AC69:AE69"/>
    <mergeCell ref="C141:J141"/>
    <mergeCell ref="B38:J38"/>
    <mergeCell ref="V131:Z131"/>
    <mergeCell ref="C35:J35"/>
    <mergeCell ref="AA33:AB33"/>
    <mergeCell ref="AC98:AE98"/>
    <mergeCell ref="C99:J99"/>
    <mergeCell ref="B40:J40"/>
    <mergeCell ref="L187:R187"/>
    <mergeCell ref="AC112:AG112"/>
    <mergeCell ref="A163:B163"/>
    <mergeCell ref="AC123:AE123"/>
    <mergeCell ref="L214:R214"/>
    <mergeCell ref="AC110:AE110"/>
    <mergeCell ref="V36:Z36"/>
    <mergeCell ref="N76:U77"/>
    <mergeCell ref="C61:J61"/>
    <mergeCell ref="N153:U154"/>
    <mergeCell ref="AC174:AE174"/>
    <mergeCell ref="V75:Z75"/>
    <mergeCell ref="AC124:AE124"/>
    <mergeCell ref="V50:Z50"/>
    <mergeCell ref="B66:J66"/>
    <mergeCell ref="C125:J125"/>
    <mergeCell ref="N164:P164"/>
    <mergeCell ref="V80:Z80"/>
    <mergeCell ref="AC126:AE126"/>
    <mergeCell ref="C154:J154"/>
    <mergeCell ref="N92:U93"/>
    <mergeCell ref="V144:Z144"/>
    <mergeCell ref="N42:U43"/>
    <mergeCell ref="B157:J157"/>
    <mergeCell ref="C156:J156"/>
    <mergeCell ref="AC42:AE42"/>
    <mergeCell ref="A87:B87"/>
    <mergeCell ref="N44:U45"/>
    <mergeCell ref="V64:Z64"/>
    <mergeCell ref="AC94:AE94"/>
    <mergeCell ref="AC44:AE44"/>
    <mergeCell ref="V155:Z155"/>
    <mergeCell ref="AC129:AE129"/>
    <mergeCell ref="V93:Z93"/>
    <mergeCell ref="AC108:AE108"/>
    <mergeCell ref="B202:K202"/>
    <mergeCell ref="V170:Z170"/>
    <mergeCell ref="AC95:AE95"/>
    <mergeCell ref="AC20:AG20"/>
    <mergeCell ref="V157:Z157"/>
    <mergeCell ref="C36:J36"/>
    <mergeCell ref="N72:U73"/>
    <mergeCell ref="V172:Z172"/>
    <mergeCell ref="C149:J149"/>
    <mergeCell ref="C67:J67"/>
    <mergeCell ref="N141:P141"/>
    <mergeCell ref="AC131:AE131"/>
    <mergeCell ref="N159:U160"/>
    <mergeCell ref="L197:R197"/>
    <mergeCell ref="B122:J122"/>
    <mergeCell ref="B105:J105"/>
    <mergeCell ref="N96:U97"/>
    <mergeCell ref="C69:J69"/>
    <mergeCell ref="N161:U162"/>
    <mergeCell ref="V86:Z86"/>
    <mergeCell ref="B120:J120"/>
    <mergeCell ref="N148:U149"/>
    <mergeCell ref="B107:J107"/>
    <mergeCell ref="C62:J62"/>
    <mergeCell ref="V58:Z58"/>
    <mergeCell ref="V175:Z175"/>
    <mergeCell ref="N98:U99"/>
    <mergeCell ref="B57:J57"/>
    <mergeCell ref="B192:K192"/>
    <mergeCell ref="V150:Z150"/>
    <mergeCell ref="V106:Z106"/>
    <mergeCell ref="AC19:AE19"/>
    <mergeCell ref="C162:J162"/>
    <mergeCell ref="AC117:AE117"/>
    <mergeCell ref="V81:Z81"/>
    <mergeCell ref="N83:U84"/>
    <mergeCell ref="N88:P88"/>
    <mergeCell ref="C93:J93"/>
    <mergeCell ref="C164:J164"/>
    <mergeCell ref="AC115:AE115"/>
    <mergeCell ref="L208:R208"/>
    <mergeCell ref="B133:J133"/>
    <mergeCell ref="AC144:AE144"/>
    <mergeCell ref="B135:J135"/>
    <mergeCell ref="R164:U164"/>
    <mergeCell ref="AC45:AE45"/>
    <mergeCell ref="AC81:AE81"/>
    <mergeCell ref="C82:J82"/>
    <mergeCell ref="N109:U110"/>
    <mergeCell ref="AC47:AE47"/>
    <mergeCell ref="AC145:AE145"/>
    <mergeCell ref="V71:Z71"/>
    <mergeCell ref="AC139:AE139"/>
    <mergeCell ref="B205:K205"/>
    <mergeCell ref="B70:J70"/>
    <mergeCell ref="C111:J111"/>
    <mergeCell ref="V163:Z163"/>
    <mergeCell ref="V101:Z101"/>
    <mergeCell ref="C86:J86"/>
    <mergeCell ref="AC76:AE76"/>
    <mergeCell ref="AC147:AE147"/>
    <mergeCell ref="V73:Z73"/>
    <mergeCell ref="C175:J175"/>
    <mergeCell ref="C58:J58"/>
    <mergeCell ref="AC122:AE122"/>
    <mergeCell ref="L188:R188"/>
    <mergeCell ref="V102:Z102"/>
    <mergeCell ref="R61:U61"/>
    <mergeCell ref="B128:J128"/>
    <mergeCell ref="L203:R203"/>
    <mergeCell ref="AC50:AE50"/>
    <mergeCell ref="T196:AG196"/>
    <mergeCell ref="O29:V29"/>
    <mergeCell ref="B146:J146"/>
    <mergeCell ref="B32:B34"/>
    <mergeCell ref="V84:Z84"/>
    <mergeCell ref="V127:Z127"/>
    <mergeCell ref="V176:Z176"/>
    <mergeCell ref="N142:P142"/>
    <mergeCell ref="V33:Z34"/>
    <mergeCell ref="B50:J50"/>
    <mergeCell ref="A25:M25"/>
    <mergeCell ref="AC158:AE158"/>
    <mergeCell ref="AC16:AG17"/>
    <mergeCell ref="N24:R24"/>
    <mergeCell ref="AC36:AG36"/>
    <mergeCell ref="N53:U54"/>
    <mergeCell ref="L209:R209"/>
    <mergeCell ref="A31:B31"/>
    <mergeCell ref="AC5:AG6"/>
    <mergeCell ref="AC135:AE135"/>
    <mergeCell ref="AC53:AE53"/>
    <mergeCell ref="L193:R193"/>
    <mergeCell ref="AF33:AG33"/>
    <mergeCell ref="AC55:AE55"/>
    <mergeCell ref="V79:Z79"/>
    <mergeCell ref="N48:U49"/>
    <mergeCell ref="AC38:AE38"/>
    <mergeCell ref="V171:Z171"/>
    <mergeCell ref="AC46:AE46"/>
    <mergeCell ref="V115:Z115"/>
    <mergeCell ref="AC40:AE40"/>
    <mergeCell ref="C112:J112"/>
    <mergeCell ref="A164:B164"/>
    <mergeCell ref="V173:Z173"/>
    <mergeCell ref="B55:J55"/>
    <mergeCell ref="C127:J127"/>
    <mergeCell ref="V74:Z74"/>
    <mergeCell ref="V123:Z123"/>
    <mergeCell ref="N114:U115"/>
    <mergeCell ref="AC148:AE148"/>
    <mergeCell ref="C176:J176"/>
    <mergeCell ref="AC4:AG4"/>
    <mergeCell ref="V39:Z39"/>
    <mergeCell ref="V110:Z110"/>
    <mergeCell ref="V166:Z166"/>
    <mergeCell ref="B208:K208"/>
    <mergeCell ref="AC41:AE41"/>
    <mergeCell ref="V103:Z103"/>
    <mergeCell ref="V168:Z168"/>
    <mergeCell ref="AC164:AG164"/>
    <mergeCell ref="N66:U67"/>
    <mergeCell ref="V118:Z118"/>
    <mergeCell ref="AC66:AE66"/>
    <mergeCell ref="L206:R206"/>
    <mergeCell ref="N112:P112"/>
    <mergeCell ref="B131:J131"/>
    <mergeCell ref="A111:B111"/>
    <mergeCell ref="N68:U69"/>
    <mergeCell ref="T199:AG199"/>
    <mergeCell ref="AC77:AE77"/>
    <mergeCell ref="N105:U106"/>
    <mergeCell ref="AC74:AE74"/>
    <mergeCell ref="AC68:AE68"/>
    <mergeCell ref="S24:Y24"/>
    <mergeCell ref="AC166:AE166"/>
    <mergeCell ref="V92:Z92"/>
    <mergeCell ref="AC160:AE160"/>
    <mergeCell ref="AC43:AE43"/>
    <mergeCell ref="A142:B142"/>
    <mergeCell ref="AC141:AE141"/>
    <mergeCell ref="N107:U108"/>
    <mergeCell ref="C104:J104"/>
    <mergeCell ref="AC97:AE97"/>
    <mergeCell ref="A32:A34"/>
    <mergeCell ref="B53:J53"/>
    <mergeCell ref="V94:Z94"/>
    <mergeCell ref="AC168:AE168"/>
    <mergeCell ref="V121:Z121"/>
    <mergeCell ref="AC72:AE72"/>
    <mergeCell ref="AC9:AG10"/>
    <mergeCell ref="C73:J73"/>
    <mergeCell ref="C171:J171"/>
    <mergeCell ref="AC161:AE161"/>
    <mergeCell ref="V87:Z87"/>
    <mergeCell ref="C121:J121"/>
    <mergeCell ref="C173:J173"/>
    <mergeCell ref="T214:AG214"/>
    <mergeCell ref="N36:P36"/>
    <mergeCell ref="N163:P163"/>
    <mergeCell ref="V49:Z49"/>
    <mergeCell ref="AC48:AE48"/>
    <mergeCell ref="B79:J79"/>
    <mergeCell ref="V120:Z120"/>
    <mergeCell ref="B144:J144"/>
    <mergeCell ref="AC96:AE96"/>
    <mergeCell ref="N122:U123"/>
    <mergeCell ref="B81:J81"/>
    <mergeCell ref="V174:Z174"/>
    <mergeCell ref="V149:Z149"/>
    <mergeCell ref="V124:Z124"/>
    <mergeCell ref="AC154:AE154"/>
    <mergeCell ref="N120:U121"/>
    <mergeCell ref="L212:R212"/>
    <mergeCell ref="R141:U141"/>
    <mergeCell ref="C136:J136"/>
    <mergeCell ref="AC91:AE91"/>
    <mergeCell ref="V55:Z55"/>
    <mergeCell ref="V126:Z126"/>
    <mergeCell ref="AC156:AE156"/>
    <mergeCell ref="N62:P62"/>
    <mergeCell ref="AC14:AG15"/>
    <mergeCell ref="N176:P176"/>
    <mergeCell ref="B170:J170"/>
    <mergeCell ref="AC103:AE103"/>
    <mergeCell ref="B172:J172"/>
    <mergeCell ref="K31:K34"/>
    <mergeCell ref="C54:J54"/>
    <mergeCell ref="AC118:AE118"/>
    <mergeCell ref="V44:Z44"/>
    <mergeCell ref="N146:U147"/>
    <mergeCell ref="C41:J41"/>
    <mergeCell ref="AC167:AE167"/>
    <mergeCell ref="V142:Z142"/>
    <mergeCell ref="N133:U134"/>
    <mergeCell ref="B92:J92"/>
    <mergeCell ref="T202:AG202"/>
    <mergeCell ref="R88:U88"/>
    <mergeCell ref="C56:J56"/>
    <mergeCell ref="V108:Z108"/>
    <mergeCell ref="C43:J43"/>
    <mergeCell ref="AC169:AE169"/>
    <mergeCell ref="N135:U136"/>
    <mergeCell ref="B94:J94"/>
    <mergeCell ref="V60:Z60"/>
    <mergeCell ref="C123:J123"/>
    <mergeCell ref="AC119:AE119"/>
    <mergeCell ref="V45:Z45"/>
    <mergeCell ref="C110:J110"/>
    <mergeCell ref="V137:Z137"/>
    <mergeCell ref="B150:J150"/>
    <mergeCell ref="V139:Z139"/>
    <mergeCell ref="V57:Z57"/>
    <mergeCell ref="AC87:AE87"/>
    <mergeCell ref="N64:U65"/>
    <mergeCell ref="AC116:AE116"/>
    <mergeCell ref="V42:Z42"/>
    <mergeCell ref="AC64:AE64"/>
    <mergeCell ref="N57:U58"/>
    <mergeCell ref="N128:U129"/>
    <mergeCell ref="AC82:AE82"/>
    <mergeCell ref="AC93:AE93"/>
    <mergeCell ref="C65:J65"/>
    <mergeCell ref="AC90:AE90"/>
    <mergeCell ref="AC65:AE65"/>
    <mergeCell ref="R111:U111"/>
    <mergeCell ref="C142:J142"/>
    <mergeCell ref="C80:J80"/>
    <mergeCell ref="AC157:AE157"/>
    <mergeCell ref="C129:J129"/>
    <mergeCell ref="B193:H193"/>
    <mergeCell ref="AC172:AE172"/>
    <mergeCell ref="C95:J95"/>
    <mergeCell ref="X20:AB20"/>
    <mergeCell ref="C60:J60"/>
    <mergeCell ref="A141:B141"/>
    <mergeCell ref="V70:Z70"/>
    <mergeCell ref="N85:U86"/>
    <mergeCell ref="AC75:AE75"/>
    <mergeCell ref="C91:J91"/>
    <mergeCell ref="AC111:AE111"/>
    <mergeCell ref="V134:Z134"/>
    <mergeCell ref="V109:Z109"/>
    <mergeCell ref="AC83:AE83"/>
    <mergeCell ref="V47:Z47"/>
    <mergeCell ref="V145:Z145"/>
    <mergeCell ref="C49:J49"/>
    <mergeCell ref="AC175:AE175"/>
    <mergeCell ref="V76:Z76"/>
    <mergeCell ref="V38:Z38"/>
    <mergeCell ref="AC106:AE106"/>
    <mergeCell ref="C31:J34"/>
    <mergeCell ref="V147:Z147"/>
    <mergeCell ref="C151:J151"/>
    <mergeCell ref="A88:B88"/>
    <mergeCell ref="V48:Z48"/>
    <mergeCell ref="V140:Z140"/>
    <mergeCell ref="N38:U39"/>
    <mergeCell ref="AC137:AE137"/>
    <mergeCell ref="V77:Z77"/>
    <mergeCell ref="N90:U91"/>
    <mergeCell ref="C75:J75"/>
    <mergeCell ref="N40:U41"/>
    <mergeCell ref="AC138:AE138"/>
    <mergeCell ref="AC132:AE132"/>
    <mergeCell ref="AC104:AE104"/>
    <mergeCell ref="N144:U145"/>
    <mergeCell ref="C39:J39"/>
    <mergeCell ref="AC140:AE140"/>
    <mergeCell ref="V66:Z66"/>
    <mergeCell ref="N131:U132"/>
    <mergeCell ref="B90:J90"/>
    <mergeCell ref="C106:J106"/>
    <mergeCell ref="V53:Z53"/>
    <mergeCell ref="V158:Z158"/>
    <mergeCell ref="V95:Z95"/>
    <mergeCell ref="V46:Z46"/>
    <mergeCell ref="L196:R196"/>
    <mergeCell ref="V160:Z160"/>
    <mergeCell ref="C145:J145"/>
    <mergeCell ref="R112:U112"/>
    <mergeCell ref="V61:Z61"/>
    <mergeCell ref="V122:Z122"/>
    <mergeCell ref="N155:U156"/>
    <mergeCell ref="B187:K187"/>
    <mergeCell ref="B166:J166"/>
    <mergeCell ref="N157:U158"/>
    <mergeCell ref="B116:J116"/>
    <mergeCell ref="AC109:AE109"/>
    <mergeCell ref="B103:J103"/>
    <mergeCell ref="B174:J174"/>
    <mergeCell ref="B168:J168"/>
    <mergeCell ref="AC133:AE133"/>
    <mergeCell ref="AC84:AE84"/>
    <mergeCell ref="AC127:AE127"/>
    <mergeCell ref="B118:J118"/>
    <mergeCell ref="AC176:AE176"/>
    <mergeCell ref="AC114:AE114"/>
    <mergeCell ref="AC99:AE99"/>
    <mergeCell ref="AC80:AE80"/>
    <mergeCell ref="AC51:AE51"/>
    <mergeCell ref="N79:U80"/>
    <mergeCell ref="V148:Z148"/>
    <mergeCell ref="C163:J163"/>
    <mergeCell ref="AC128:AE128"/>
    <mergeCell ref="V54:Z54"/>
    <mergeCell ref="N94:U95"/>
    <mergeCell ref="V41:Z41"/>
    <mergeCell ref="N81:U82"/>
    <mergeCell ref="AC142:AG142"/>
    <mergeCell ref="C158:J158"/>
    <mergeCell ref="B98:J98"/>
    <mergeCell ref="V68:Z68"/>
    <mergeCell ref="N170:U171"/>
    <mergeCell ref="V67:Z67"/>
    <mergeCell ref="AC35:AE35"/>
    <mergeCell ref="V159:Z159"/>
    <mergeCell ref="N172:U173"/>
    <mergeCell ref="V97:Z97"/>
    <mergeCell ref="C147:J147"/>
    <mergeCell ref="R176:U176"/>
    <mergeCell ref="V69:Z69"/>
    <mergeCell ref="V96:Z96"/>
    <mergeCell ref="V161:Z161"/>
    <mergeCell ref="N59:U60"/>
    <mergeCell ref="Z22:AG22"/>
    <mergeCell ref="V98:Z98"/>
    <mergeCell ref="AC59:AE59"/>
    <mergeCell ref="L199:R199"/>
    <mergeCell ref="B124:J124"/>
    <mergeCell ref="L35:M35"/>
    <mergeCell ref="T192:AG192"/>
    <mergeCell ref="C71:J71"/>
    <mergeCell ref="AC61:AE61"/>
    <mergeCell ref="B126:J126"/>
    <mergeCell ref="AC159:AE159"/>
    <mergeCell ref="N150:U151"/>
    <mergeCell ref="AC153:AE153"/>
    <mergeCell ref="B109:J109"/>
    <mergeCell ref="B59:J59"/>
    <mergeCell ref="AC125:AE125"/>
    <mergeCell ref="B46:J46"/>
    <mergeCell ref="T187:AG187"/>
    <mergeCell ref="Z24:AD24"/>
    <mergeCell ref="AC136:AE136"/>
    <mergeCell ref="B196:K196"/>
    <mergeCell ref="C102:J102"/>
    <mergeCell ref="B48:J48"/>
    <mergeCell ref="V116:Z116"/>
    <mergeCell ref="V91:Z91"/>
    <mergeCell ref="R62:U62"/>
    <mergeCell ref="V85:Z85"/>
    <mergeCell ref="C160:J160"/>
    <mergeCell ref="V82:Z82"/>
    <mergeCell ref="AC32:AG32"/>
    <mergeCell ref="C97:J97"/>
    <mergeCell ref="AC54:AE54"/>
    <mergeCell ref="V111:Z111"/>
    <mergeCell ref="B137:J137"/>
    <mergeCell ref="T205:AG205"/>
    <mergeCell ref="V151:Z151"/>
    <mergeCell ref="AC56:AE56"/>
    <mergeCell ref="N87:P87"/>
    <mergeCell ref="AC105:AE105"/>
    <mergeCell ref="B74:J74"/>
    <mergeCell ref="B68:J68"/>
    <mergeCell ref="V167:Z167"/>
    <mergeCell ref="B139:J139"/>
    <mergeCell ref="AC49:AE49"/>
    <mergeCell ref="AC120:AE120"/>
    <mergeCell ref="B114:J114"/>
    <mergeCell ref="B76:J76"/>
    <mergeCell ref="V169:Z169"/>
    <mergeCell ref="AC149:AE149"/>
    <mergeCell ref="V162:Z162"/>
    <mergeCell ref="A112:B112"/>
    <mergeCell ref="L200:R200"/>
    <mergeCell ref="V164:Z164"/>
    <mergeCell ref="A176:B176"/>
    <mergeCell ref="V114:Z114"/>
  </mergeCells>
  <printOptions horizontalCentered="1"/>
  <pageMargins left="0.3149606299212598" right="0.3149606299212598" top="0.3937007874015748" bottom="0.5905511811023623" header="0.3937007874015748" footer="0.1968503937007874"/>
  <pageSetup orientation="landscape" paperSize="9" scale="27" fitToHeight="2"/>
  <colBreaks count="1" manualBreakCount="1">
    <brk id="33" min="0" max="93" man="1"/>
  </colBreaks>
</worksheet>
</file>

<file path=xl/worksheets/sheet2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S55"/>
  <sheetViews>
    <sheetView tabSelected="1" topLeftCell="A11" zoomScaleNormal="100" zoomScaleSheetLayoutView="70" workbookViewId="0">
      <selection activeCell="E29" sqref="E29"/>
    </sheetView>
  </sheetViews>
  <sheetFormatPr baseColWidth="8" defaultColWidth="9.140625" defaultRowHeight="12.75" outlineLevelRow="1"/>
  <cols>
    <col width="6.7109375" customWidth="1" style="74" min="1" max="1"/>
    <col width="7.42578125" customWidth="1" style="74" min="2" max="2"/>
    <col hidden="1" width="2.28515625" customWidth="1" style="74" min="3" max="3"/>
    <col width="26.28515625" customWidth="1" style="74" min="4" max="4"/>
    <col width="13.85546875" customWidth="1" style="74" min="5" max="5"/>
    <col width="14.85546875" customWidth="1" style="74" min="6" max="6"/>
    <col width="6.140625" customWidth="1" style="74" min="7" max="7"/>
    <col width="16.5703125" customWidth="1" style="74" min="8" max="8"/>
    <col width="6.140625" customWidth="1" style="74" min="9" max="9"/>
    <col width="6.7109375" customWidth="1" style="74" min="10" max="10"/>
    <col width="8" customWidth="1" style="74" min="11" max="11"/>
    <col width="12.28515625" bestFit="1" customWidth="1" style="74" min="12" max="12"/>
    <col width="14.42578125" bestFit="1" customWidth="1" style="74" min="13" max="13"/>
    <col width="13.85546875" customWidth="1" style="74" min="14" max="15"/>
    <col width="13.140625" customWidth="1" style="74" min="16" max="16"/>
    <col width="13.7109375" customWidth="1" style="74" min="17" max="17"/>
    <col width="9.140625" customWidth="1" style="74" min="18" max="18"/>
    <col width="13.140625" bestFit="1" customWidth="1" style="74" min="19" max="19"/>
    <col width="9.140625" customWidth="1" style="74" min="20" max="16384"/>
  </cols>
  <sheetData>
    <row r="1" ht="12" customFormat="1" customHeight="1" s="134">
      <c r="F1" s="232" t="inlineStr">
        <is>
          <t xml:space="preserve">                        Унифицированная форма № КС-3 </t>
        </is>
      </c>
    </row>
    <row r="2" ht="12" customFormat="1" customHeight="1" s="134">
      <c r="F2" s="232" t="inlineStr">
        <is>
          <t xml:space="preserve">                        Утверждена постановлением Госкомстата России </t>
        </is>
      </c>
    </row>
    <row r="3" ht="12" customFormat="1" customHeight="1" s="134">
      <c r="F3" s="232" t="inlineStr">
        <is>
          <t xml:space="preserve">                        от 11.11.99 № 100</t>
        </is>
      </c>
    </row>
    <row r="4" ht="13.5" customHeight="1" s="285" thickBot="1">
      <c r="I4" s="115" t="inlineStr">
        <is>
          <t>Код</t>
        </is>
      </c>
      <c r="J4" s="447" t="n"/>
      <c r="K4" s="448" t="n"/>
    </row>
    <row r="5">
      <c r="H5" s="287" t="inlineStr">
        <is>
          <t>Форма по ОКУД</t>
        </is>
      </c>
      <c r="I5" s="520" t="n"/>
      <c r="J5" s="521" t="n"/>
      <c r="K5" s="522" t="n"/>
    </row>
    <row r="6">
      <c r="A6" s="131" t="inlineStr">
        <is>
          <t xml:space="preserve">Генподрядчик: ООО "Плутос" 350066, Россия, Краснодарский край, </t>
        </is>
      </c>
      <c r="B6" s="131" t="n"/>
      <c r="C6" s="131" t="n"/>
      <c r="D6" s="131" t="n"/>
      <c r="E6" s="131" t="n"/>
      <c r="F6" s="131" t="n"/>
      <c r="G6" s="131" t="n"/>
      <c r="H6" s="236" t="inlineStr">
        <is>
          <t>по ОКПО</t>
        </is>
      </c>
      <c r="I6" s="523" t="inlineStr">
        <is>
          <t>26966415</t>
        </is>
      </c>
      <c r="J6" s="447" t="n"/>
      <c r="K6" s="524" t="n"/>
    </row>
    <row r="7" ht="17.25" customHeight="1" s="285">
      <c r="A7" s="133" t="inlineStr">
        <is>
          <t>г.о. город Краснодар, г. Краснодар, ул. Бородинская, д.16, пом.217.</t>
        </is>
      </c>
      <c r="B7" s="78" t="n"/>
      <c r="C7" s="133" t="n"/>
      <c r="D7" s="133" t="n"/>
      <c r="E7" s="133" t="n"/>
      <c r="F7" s="133" t="n"/>
      <c r="G7" s="131" t="n"/>
      <c r="I7" s="525" t="n"/>
      <c r="K7" s="526" t="n"/>
    </row>
    <row r="8" ht="11.25" customHeight="1" s="285">
      <c r="A8" s="131" t="n"/>
      <c r="C8" s="131" t="n"/>
      <c r="D8" s="132" t="inlineStr">
        <is>
          <t>(организация, адрес, телефон, факс)</t>
        </is>
      </c>
      <c r="E8" s="131" t="n"/>
      <c r="F8" s="131" t="n"/>
      <c r="G8" s="131" t="n"/>
      <c r="H8" s="236" t="n"/>
      <c r="I8" s="240" t="n"/>
      <c r="J8" s="241" t="n"/>
      <c r="K8" s="242" t="n"/>
    </row>
    <row r="9" ht="30" customHeight="1" s="285">
      <c r="A9" s="243" t="inlineStr">
        <is>
          <t>Подрядчик:  ООО «Новая оконная компания» ,  350090, г. Краснодар, проезд Репина,  д. 1, помещ. №175</t>
        </is>
      </c>
      <c r="B9" s="450" t="n"/>
      <c r="C9" s="450" t="n"/>
      <c r="D9" s="450" t="n"/>
      <c r="E9" s="450" t="n"/>
      <c r="F9" s="450" t="n"/>
      <c r="G9" s="450" t="n"/>
      <c r="H9" s="236" t="inlineStr">
        <is>
          <t>по ОКПО</t>
        </is>
      </c>
      <c r="I9" s="523" t="inlineStr">
        <is>
          <t>88975672</t>
        </is>
      </c>
      <c r="J9" s="447" t="n"/>
      <c r="K9" s="524" t="n"/>
    </row>
    <row r="10" ht="10.5" customHeight="1" s="285">
      <c r="A10" s="129" t="n"/>
      <c r="B10" s="129" t="n"/>
      <c r="C10" s="129" t="n"/>
      <c r="D10" s="130" t="inlineStr">
        <is>
          <t>(организация, адрес, телефон, факс)</t>
        </is>
      </c>
      <c r="E10" s="129" t="n"/>
      <c r="F10" s="129" t="n"/>
      <c r="G10" s="129" t="n"/>
      <c r="H10" s="236" t="n"/>
      <c r="I10" s="240" t="n"/>
      <c r="J10" s="241" t="n"/>
      <c r="K10" s="242" t="n"/>
    </row>
    <row r="11" ht="42" customHeight="1" s="285">
      <c r="A11" s="248" t="inlineStr">
        <is>
          <t>Стройка: «Строительство многоэтажного жилого дома со встроенно-пристроенными помещениями и автостоянкой по адресу: г.Краснодар, ул.Уральская, 100/8»</t>
        </is>
      </c>
      <c r="B11" s="450" t="n"/>
      <c r="C11" s="450" t="n"/>
      <c r="D11" s="450" t="n"/>
      <c r="E11" s="450" t="n"/>
      <c r="F11" s="450" t="n"/>
      <c r="G11" s="450" t="n"/>
      <c r="H11" s="236" t="inlineStr">
        <is>
          <t>по ОКПО</t>
        </is>
      </c>
      <c r="I11" s="527" t="n"/>
      <c r="J11" s="447" t="n"/>
      <c r="K11" s="524" t="n"/>
    </row>
    <row r="12" ht="12.75" customHeight="1" s="285">
      <c r="A12" s="124" t="n"/>
      <c r="B12" s="124" t="n"/>
      <c r="C12" s="124" t="n"/>
      <c r="D12" s="125" t="inlineStr">
        <is>
          <t>(наименование, адрес)</t>
        </is>
      </c>
      <c r="E12" s="124" t="n"/>
      <c r="F12" s="124" t="n"/>
      <c r="G12" s="124" t="n"/>
      <c r="H12" s="236" t="n"/>
      <c r="I12" s="220" t="n"/>
      <c r="J12" s="221" t="n"/>
      <c r="K12" s="222" t="n"/>
    </row>
    <row r="13">
      <c r="H13" s="287" t="inlineStr">
        <is>
          <t>Вид деятельности по ОКДП</t>
        </is>
      </c>
      <c r="I13" s="528" t="n"/>
      <c r="J13" s="450" t="n"/>
      <c r="K13" s="529" t="n"/>
    </row>
    <row r="14" ht="12.75" customHeight="1" s="285">
      <c r="G14" s="287" t="inlineStr">
        <is>
          <t>Договор подряда (контракт)</t>
        </is>
      </c>
      <c r="H14" s="119" t="inlineStr">
        <is>
          <t>номер</t>
        </is>
      </c>
      <c r="I14" s="530" t="inlineStr">
        <is>
          <t>01-25/РЖ-Л4-В</t>
        </is>
      </c>
      <c r="J14" s="444" t="n"/>
      <c r="K14" s="531" t="n"/>
    </row>
    <row r="15">
      <c r="H15" s="119" t="inlineStr">
        <is>
          <t>дата</t>
        </is>
      </c>
      <c r="I15" s="118" t="inlineStr">
        <is>
          <t>01</t>
        </is>
      </c>
      <c r="J15" s="117" t="inlineStr">
        <is>
          <t>04</t>
        </is>
      </c>
      <c r="K15" s="116" t="inlineStr">
        <is>
          <t>2025</t>
        </is>
      </c>
    </row>
    <row r="16" ht="13.5" customHeight="1" s="285" thickBot="1">
      <c r="H16" s="287" t="inlineStr">
        <is>
          <t>Вид операции</t>
        </is>
      </c>
      <c r="I16" s="532" t="n"/>
      <c r="J16" s="533" t="n"/>
      <c r="K16" s="534" t="n"/>
    </row>
    <row r="17" ht="4.5" customHeight="1" s="285">
      <c r="H17" s="287" t="n"/>
    </row>
    <row r="18">
      <c r="E18" s="226" t="inlineStr">
        <is>
          <t>Номер</t>
        </is>
      </c>
      <c r="F18" s="115" t="inlineStr">
        <is>
          <t>Дата</t>
        </is>
      </c>
      <c r="G18" s="112" t="n"/>
      <c r="H18" s="115" t="inlineStr">
        <is>
          <t>Отчетный период</t>
        </is>
      </c>
      <c r="I18" s="447" t="n"/>
      <c r="J18" s="447" t="n"/>
      <c r="K18" s="448" t="n"/>
    </row>
    <row r="19" ht="16.5" customHeight="1" s="285" thickBot="1">
      <c r="E19" s="114" t="inlineStr">
        <is>
          <t>документа</t>
        </is>
      </c>
      <c r="F19" s="113" t="inlineStr">
        <is>
          <t>составления</t>
        </is>
      </c>
      <c r="G19" s="112" t="n"/>
      <c r="H19" s="226" t="inlineStr">
        <is>
          <t>с</t>
        </is>
      </c>
      <c r="I19" s="115" t="inlineStr">
        <is>
          <t>по</t>
        </is>
      </c>
      <c r="J19" s="447" t="n"/>
      <c r="K19" s="448" t="n"/>
    </row>
    <row r="20" ht="15.75" customHeight="1" s="285" thickBot="1">
      <c r="D20" s="110" t="inlineStr">
        <is>
          <t xml:space="preserve">СПРАВКА    </t>
        </is>
      </c>
      <c r="E20" s="109" t="inlineStr">
        <is>
          <t>1</t>
        </is>
      </c>
      <c r="F20" s="108" t="inlineStr">
        <is>
          <t>25.09.2026г.</t>
        </is>
      </c>
      <c r="G20" s="107" t="n"/>
      <c r="H20" s="106" t="inlineStr">
        <is>
          <t>01.04.2025г.</t>
        </is>
      </c>
      <c r="I20" s="106">
        <f>F20</f>
        <v/>
      </c>
      <c r="J20" s="535" t="n"/>
      <c r="K20" s="536" t="n"/>
      <c r="L20" s="84" t="n"/>
      <c r="M20" s="228" t="n"/>
    </row>
    <row r="21" ht="6" customHeight="1" s="285"/>
    <row r="22" ht="15.75" customFormat="1" customHeight="1" s="105">
      <c r="A22" s="247" t="inlineStr">
        <is>
          <t xml:space="preserve">                            О СТОИМОСТИ ВЫПОЛНЕННЫХ РАБОТ И ЗАТРАТ                                                       </t>
        </is>
      </c>
    </row>
    <row r="23" ht="5.25" customFormat="1" customHeight="1" s="105">
      <c r="A23" s="249" t="n"/>
      <c r="B23" s="450" t="n"/>
      <c r="C23" s="450" t="n"/>
      <c r="D23" s="450" t="n"/>
      <c r="E23" s="450" t="n"/>
      <c r="F23" s="450" t="n"/>
      <c r="G23" s="450" t="n"/>
      <c r="H23" s="450" t="n"/>
      <c r="I23" s="450" t="n"/>
      <c r="J23" s="450" t="n"/>
      <c r="K23" s="450" t="n"/>
    </row>
    <row r="24" ht="27" customFormat="1" customHeight="1" s="228">
      <c r="A24" s="537" t="inlineStr">
        <is>
          <t>Номер п/п</t>
        </is>
      </c>
      <c r="B24" s="537" t="inlineStr">
        <is>
          <t>Наименование пусковых комплексов, этапов, объектов, видов выполненных работ, оборудования, затрат</t>
        </is>
      </c>
      <c r="C24" s="447" t="n"/>
      <c r="D24" s="448" t="n"/>
      <c r="E24" s="538" t="inlineStr">
        <is>
          <t>Код</t>
        </is>
      </c>
      <c r="F24" s="538" t="inlineStr">
        <is>
          <t>Стоимость выполненных работ и затрат, руб.</t>
        </is>
      </c>
      <c r="G24" s="444" t="n"/>
      <c r="H24" s="444" t="n"/>
      <c r="I24" s="444" t="n"/>
      <c r="J24" s="444" t="n"/>
      <c r="K24" s="341" t="n"/>
    </row>
    <row r="25" ht="36.75" customFormat="1" customHeight="1" s="228">
      <c r="A25" s="461" t="n"/>
      <c r="B25" s="449" t="n"/>
      <c r="C25" s="450" t="n"/>
      <c r="D25" s="451" t="n"/>
      <c r="E25" s="461" t="n"/>
      <c r="F25" s="537" t="inlineStr">
        <is>
          <t>с начала проведения работ</t>
        </is>
      </c>
      <c r="G25" s="341" t="n"/>
      <c r="H25" s="265" t="inlineStr">
        <is>
          <t>с начала года</t>
        </is>
      </c>
      <c r="I25" s="537" t="inlineStr">
        <is>
          <t>в том числе за отчетный период</t>
        </is>
      </c>
      <c r="J25" s="444" t="n"/>
      <c r="K25" s="341" t="n"/>
    </row>
    <row r="26">
      <c r="A26" s="103" t="n">
        <v>1</v>
      </c>
      <c r="B26" s="103" t="n">
        <v>2</v>
      </c>
      <c r="C26" s="444" t="n"/>
      <c r="D26" s="341" t="n"/>
      <c r="E26" s="268" t="n">
        <v>3</v>
      </c>
      <c r="F26" s="103" t="n">
        <v>4</v>
      </c>
      <c r="G26" s="341" t="n"/>
      <c r="H26" s="266" t="n">
        <v>5</v>
      </c>
      <c r="I26" s="103" t="n">
        <v>6</v>
      </c>
      <c r="J26" s="444" t="n"/>
      <c r="K26" s="341" t="n"/>
      <c r="M26" s="228" t="n"/>
      <c r="N26" s="228" t="n"/>
      <c r="O26" s="228" t="n"/>
      <c r="P26" s="228" t="n"/>
    </row>
    <row r="27" ht="43.5" customHeight="1" s="285">
      <c r="A27" s="99" t="n">
        <v>1</v>
      </c>
      <c r="B27" s="250" t="inlineStr">
        <is>
          <t>Всего работ и затрат, включаемых в стоимость работ в том числе:</t>
        </is>
      </c>
      <c r="C27" s="447" t="n"/>
      <c r="D27" s="448" t="n"/>
      <c r="E27" s="277" t="n"/>
      <c r="F27" s="271">
        <f>I32</f>
        <v/>
      </c>
      <c r="G27" s="447" t="n"/>
      <c r="H27" s="100">
        <f>F29</f>
        <v/>
      </c>
      <c r="I27" s="273">
        <f>I32</f>
        <v/>
      </c>
      <c r="J27" s="447" t="n"/>
      <c r="K27" s="448" t="n"/>
      <c r="M27" s="228" t="n"/>
      <c r="N27" s="228" t="n"/>
      <c r="O27" s="228" t="n"/>
      <c r="P27" s="228" t="n"/>
      <c r="Q27" s="228" t="n"/>
    </row>
    <row r="28">
      <c r="A28" s="99" t="n"/>
      <c r="B28" s="275" t="n"/>
      <c r="C28" s="228" t="n"/>
      <c r="D28" s="294" t="n"/>
      <c r="E28" s="277" t="n"/>
      <c r="F28" s="278" t="n"/>
      <c r="G28" s="98" t="n"/>
      <c r="H28" s="89" t="n"/>
      <c r="I28" s="97" t="n"/>
      <c r="J28" s="97" t="n"/>
      <c r="K28" s="96" t="n"/>
      <c r="M28" s="539" t="n"/>
      <c r="N28" s="539" t="n"/>
      <c r="O28" s="539" t="n"/>
      <c r="P28" s="539" t="n"/>
      <c r="Q28" s="540" t="n"/>
    </row>
    <row r="29" ht="81" customFormat="1" customHeight="1" s="228">
      <c r="A29" s="93" t="inlineStr">
        <is>
          <t>1.1</t>
        </is>
      </c>
      <c r="B29" s="99" t="inlineStr">
        <is>
          <t xml:space="preserve">Изготовление и монтаж алюминиевых дверей и витражей </t>
        </is>
      </c>
      <c r="D29" s="445" t="n"/>
      <c r="E29" s="95" t="n"/>
      <c r="F29" s="89">
        <f>F27</f>
        <v/>
      </c>
      <c r="G29" s="445" t="n"/>
      <c r="H29" s="89">
        <f>H27</f>
        <v/>
      </c>
      <c r="I29" s="281">
        <f>I27</f>
        <v/>
      </c>
      <c r="K29" s="445" t="n"/>
      <c r="M29" s="43" t="n"/>
      <c r="N29" s="43" t="n"/>
      <c r="O29" s="43" t="n"/>
      <c r="P29" s="539" t="n"/>
    </row>
    <row r="30" hidden="1" outlineLevel="1" ht="81" customFormat="1" customHeight="1" s="228">
      <c r="A30" s="93" t="inlineStr">
        <is>
          <t>1.2</t>
        </is>
      </c>
      <c r="B30" s="99" t="inlineStr">
        <is>
          <t>Устройство конструкций нулевого цикла ( в т.ч основание, свайное поле, фундаментная плита, гидроизоляция) - фундамент крана</t>
        </is>
      </c>
      <c r="D30" s="445" t="n"/>
      <c r="E30" s="277" t="inlineStr">
        <is>
          <t>2.2.3.7</t>
        </is>
      </c>
      <c r="F30" s="89">
        <f>SUM(M30:P30)</f>
        <v/>
      </c>
      <c r="G30" s="445" t="n"/>
      <c r="H30" s="89">
        <f>SUM(M30:P30)</f>
        <v/>
      </c>
      <c r="I30" s="283" t="n"/>
      <c r="K30" s="445" t="n"/>
      <c r="M30" s="43" t="n"/>
      <c r="N30" s="43" t="n"/>
      <c r="O30" s="43" t="n"/>
      <c r="P30" s="43" t="n"/>
    </row>
    <row r="31" collapsed="1" customFormat="1" s="228">
      <c r="A31" s="88" t="n"/>
      <c r="B31" s="88" t="n"/>
      <c r="D31" s="445" t="n"/>
      <c r="E31" s="294" t="n"/>
      <c r="F31" s="295" t="n"/>
      <c r="H31" s="86" t="n"/>
      <c r="I31" s="283" t="n"/>
      <c r="K31" s="445" t="n"/>
      <c r="M31" s="541" t="n"/>
      <c r="N31" s="541" t="n"/>
      <c r="O31" s="541" t="n"/>
      <c r="P31" s="541" t="n"/>
    </row>
    <row r="32" ht="14.25" customFormat="1" customHeight="1" s="228">
      <c r="A32" s="542" t="inlineStr">
        <is>
          <t>Итого</t>
        </is>
      </c>
      <c r="B32" s="447" t="n"/>
      <c r="C32" s="447" t="n"/>
      <c r="D32" s="447" t="n"/>
      <c r="E32" s="447" t="n"/>
      <c r="F32" s="447" t="n"/>
      <c r="G32" s="447" t="n"/>
      <c r="H32" s="448" t="n"/>
      <c r="I32" s="543">
        <f>I34/1.22</f>
        <v/>
      </c>
      <c r="J32" s="444" t="n"/>
      <c r="K32" s="341" t="n"/>
      <c r="M32" s="43" t="n"/>
      <c r="N32" s="43" t="n"/>
      <c r="O32" s="43" t="n"/>
      <c r="P32" s="43" t="n"/>
      <c r="Q32" s="541" t="n"/>
    </row>
    <row r="33" ht="14.25" customHeight="1" s="285">
      <c r="A33" s="288" t="inlineStr">
        <is>
          <t>Сумма НДС 22%</t>
        </is>
      </c>
      <c r="H33" s="445" t="n"/>
      <c r="I33" s="544">
        <f>I34-I32</f>
        <v/>
      </c>
      <c r="J33" s="444" t="n"/>
      <c r="K33" s="341" t="n"/>
      <c r="L33" s="84" t="n"/>
      <c r="M33" s="43" t="n"/>
      <c r="N33" s="43" t="n"/>
      <c r="O33" s="43" t="n"/>
      <c r="P33" s="43" t="n"/>
      <c r="Q33" s="541" t="n"/>
      <c r="S33" s="43" t="n"/>
    </row>
    <row r="34" ht="14.25" customHeight="1" s="285">
      <c r="A34" s="288" t="inlineStr">
        <is>
          <t>Всего с учетом НДС</t>
        </is>
      </c>
      <c r="H34" s="445" t="n"/>
      <c r="I34" s="544">
        <f>'КС-2 '!AG177</f>
        <v/>
      </c>
      <c r="J34" s="444" t="n"/>
      <c r="K34" s="341" t="n"/>
      <c r="L34" s="82" t="n"/>
      <c r="M34" s="43" t="n"/>
      <c r="N34" s="43" t="n"/>
      <c r="O34" s="43" t="n"/>
      <c r="P34" s="43" t="n"/>
      <c r="Q34" s="541" t="n"/>
    </row>
    <row r="36" ht="14.25" customHeight="1" s="285">
      <c r="B36" s="74" t="inlineStr">
        <is>
          <t>Генподрядчик</t>
        </is>
      </c>
      <c r="M36" s="43" t="n"/>
      <c r="N36" s="43" t="n"/>
      <c r="O36" s="43" t="n"/>
      <c r="P36" s="43" t="n"/>
    </row>
    <row r="37" ht="53.25" customHeight="1" s="285">
      <c r="B37" s="80" t="n"/>
      <c r="C37" s="80" t="n"/>
      <c r="D37" s="292" t="inlineStr">
        <is>
          <t xml:space="preserve">Представитель по доверенности              ООО "Плутос" </t>
        </is>
      </c>
      <c r="F37" s="80" t="inlineStr">
        <is>
          <t>_________________________________       В.А. Иваненко</t>
        </is>
      </c>
      <c r="G37" s="80" t="n"/>
      <c r="H37" s="80" t="n"/>
      <c r="M37" s="43" t="n"/>
      <c r="N37" s="43" t="n"/>
      <c r="O37" s="43" t="n"/>
      <c r="P37" s="43" t="n"/>
    </row>
    <row r="38" ht="14.25" customHeight="1" s="285">
      <c r="B38" s="80" t="n"/>
      <c r="C38" s="80" t="n"/>
      <c r="E38" s="79" t="inlineStr">
        <is>
          <t xml:space="preserve"> М П</t>
        </is>
      </c>
      <c r="F38" s="80" t="n"/>
      <c r="G38" s="80" t="n"/>
      <c r="H38" s="80" t="n"/>
      <c r="M38" s="43" t="n"/>
      <c r="N38" s="43" t="n"/>
      <c r="O38" s="43" t="n"/>
      <c r="P38" s="43" t="n"/>
    </row>
    <row r="39" ht="7.5" customHeight="1" s="285">
      <c r="B39" s="80" t="n"/>
      <c r="C39" s="80" t="n"/>
      <c r="D39" s="80" t="n"/>
      <c r="E39" s="80" t="n"/>
      <c r="F39" s="80" t="n"/>
      <c r="G39" s="80" t="n"/>
      <c r="H39" s="80" t="n"/>
    </row>
    <row r="40" ht="7.5" customHeight="1" s="285">
      <c r="B40" s="80" t="n"/>
      <c r="C40" s="80" t="n"/>
      <c r="D40" s="80" t="n"/>
      <c r="E40" s="80" t="n"/>
      <c r="F40" s="80" t="n"/>
      <c r="G40" s="80" t="n"/>
      <c r="H40" s="80" t="n"/>
    </row>
    <row r="41" ht="7.5" customHeight="1" s="285">
      <c r="B41" s="80" t="n"/>
      <c r="C41" s="80" t="n"/>
      <c r="D41" s="80" t="n"/>
      <c r="E41" s="80" t="n"/>
      <c r="F41" s="80" t="n"/>
      <c r="G41" s="80" t="n"/>
      <c r="H41" s="80" t="n"/>
    </row>
    <row r="42" ht="7.5" customHeight="1" s="285">
      <c r="B42" s="80" t="n"/>
      <c r="C42" s="80" t="n"/>
      <c r="D42" s="80" t="n"/>
      <c r="E42" s="80" t="n"/>
      <c r="F42" s="80" t="n"/>
      <c r="G42" s="80" t="n"/>
      <c r="H42" s="80" t="n"/>
    </row>
    <row r="43">
      <c r="B43" s="80" t="n"/>
      <c r="C43" s="80" t="n"/>
      <c r="D43" s="80" t="n"/>
      <c r="E43" s="80" t="n"/>
      <c r="F43" s="80" t="n"/>
      <c r="G43" s="80" t="n"/>
      <c r="H43" s="80" t="n"/>
    </row>
    <row r="45">
      <c r="B45" s="74" t="inlineStr">
        <is>
          <t>Подрядчик</t>
        </is>
      </c>
    </row>
    <row r="46">
      <c r="D46" s="284" t="inlineStr">
        <is>
          <t>Представитель по доверенности ООО «Новая оконная компания»</t>
        </is>
      </c>
    </row>
    <row r="47"/>
    <row r="48" ht="13.5" customHeight="1" s="285">
      <c r="A48" s="74" t="inlineStr">
        <is>
          <t>Доверенность № 03-НОК-26 от 01.01.2026г.</t>
        </is>
      </c>
      <c r="E48" s="79" t="inlineStr">
        <is>
          <t xml:space="preserve"> М П</t>
        </is>
      </c>
      <c r="F48" s="78" t="n"/>
      <c r="G48" s="78" t="n"/>
      <c r="H48" s="77" t="n"/>
      <c r="I48" s="76" t="inlineStr">
        <is>
          <t xml:space="preserve">А.А. Лазарев </t>
        </is>
      </c>
      <c r="J48" s="76" t="n"/>
      <c r="K48" s="76" t="n"/>
    </row>
    <row r="49">
      <c r="M49" s="75" t="n"/>
      <c r="N49" s="75" t="n"/>
      <c r="O49" s="75" t="n"/>
      <c r="P49" s="75" t="n"/>
    </row>
    <row r="50">
      <c r="M50" s="75" t="n"/>
      <c r="N50" s="75" t="n"/>
      <c r="O50" s="75" t="n"/>
      <c r="P50" s="75" t="n"/>
    </row>
    <row r="51">
      <c r="M51" s="75" t="n"/>
      <c r="N51" s="75" t="n"/>
      <c r="O51" s="75" t="n"/>
      <c r="P51" s="75" t="n"/>
    </row>
    <row r="53" ht="14.25" customHeight="1" s="285">
      <c r="M53" s="5" t="n"/>
      <c r="N53" s="5" t="n"/>
      <c r="O53" s="5" t="n"/>
      <c r="P53" s="5" t="n"/>
    </row>
    <row r="54" ht="14.25" customHeight="1" s="285">
      <c r="M54" s="5" t="n"/>
      <c r="N54" s="5" t="n"/>
      <c r="O54" s="5" t="n"/>
      <c r="P54" s="5" t="n"/>
    </row>
    <row r="55" ht="14.25" customHeight="1" s="285">
      <c r="M55" s="5" t="n"/>
      <c r="N55" s="5" t="n"/>
      <c r="O55" s="5" t="n"/>
      <c r="P55" s="5" t="n"/>
    </row>
  </sheetData>
  <mergeCells count="50">
    <mergeCell ref="I16:K16"/>
    <mergeCell ref="F24:K24"/>
    <mergeCell ref="I32:K32"/>
    <mergeCell ref="A24:A25"/>
    <mergeCell ref="F29:G29"/>
    <mergeCell ref="F25:G25"/>
    <mergeCell ref="H6:H7"/>
    <mergeCell ref="F2:K2"/>
    <mergeCell ref="B29:D29"/>
    <mergeCell ref="H18:K18"/>
    <mergeCell ref="I33:K33"/>
    <mergeCell ref="I6:K7"/>
    <mergeCell ref="F30:G30"/>
    <mergeCell ref="A9:G9"/>
    <mergeCell ref="I14:K14"/>
    <mergeCell ref="I5:K5"/>
    <mergeCell ref="B30:D30"/>
    <mergeCell ref="I4:K4"/>
    <mergeCell ref="I20:K20"/>
    <mergeCell ref="F26:G26"/>
    <mergeCell ref="A11:G11"/>
    <mergeCell ref="I29:K29"/>
    <mergeCell ref="Q28:Q31"/>
    <mergeCell ref="I19:K19"/>
    <mergeCell ref="M20:P22"/>
    <mergeCell ref="I13:K13"/>
    <mergeCell ref="I9:K9"/>
    <mergeCell ref="D37:E37"/>
    <mergeCell ref="I31:K31"/>
    <mergeCell ref="F31:G31"/>
    <mergeCell ref="B26:D26"/>
    <mergeCell ref="A33:H33"/>
    <mergeCell ref="I34:K34"/>
    <mergeCell ref="F1:K1"/>
    <mergeCell ref="I30:K30"/>
    <mergeCell ref="A32:H32"/>
    <mergeCell ref="F27:G27"/>
    <mergeCell ref="A23:K23"/>
    <mergeCell ref="I11:K11"/>
    <mergeCell ref="A22:K22"/>
    <mergeCell ref="D46:E47"/>
    <mergeCell ref="B31:D31"/>
    <mergeCell ref="I27:K27"/>
    <mergeCell ref="B24:D25"/>
    <mergeCell ref="B27:D27"/>
    <mergeCell ref="I26:K26"/>
    <mergeCell ref="E24:E25"/>
    <mergeCell ref="F3:K3"/>
    <mergeCell ref="I25:K25"/>
    <mergeCell ref="A34:H34"/>
  </mergeCells>
  <printOptions horizontalCentered="1"/>
  <pageMargins left="0.3937007874015748" right="0.3937007874015748" top="0.7480314960629921" bottom="0.7480314960629921" header="0.3149606299212598" footer="0.3149606299212598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Дмитрий ПТО</dc:creator>
  <dcterms:created xmlns:dcterms="http://purl.org/dc/terms/" xmlns:xsi="http://www.w3.org/2001/XMLSchema-instance" xsi:type="dcterms:W3CDTF">2009-01-26T11:09:31Z</dcterms:created>
  <dcterms:modified xmlns:dcterms="http://purl.org/dc/terms/" xmlns:xsi="http://www.w3.org/2001/XMLSchema-instance" xsi:type="dcterms:W3CDTF">2026-09-28T10:36:17Z</dcterms:modified>
  <cp:lastModifiedBy>Кирилл Чайкин</cp:lastModifiedBy>
  <cp:lastPrinted>2026-06-15T08:31:53Z</cp:lastPrinted>
</cp:coreProperties>
</file>