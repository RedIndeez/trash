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308" firstSheet="0" activeTab="0" autoFilterDateGrouping="1"/>
  </bookViews>
  <sheets>
    <sheet xmlns:r="http://schemas.openxmlformats.org/officeDocument/2006/relationships" name="Литер 4" sheetId="1" state="visible" r:id="rId1"/>
  </sheets>
  <definedNames>
    <definedName name="_xlnm.Print_Titles" localSheetId="0">'Литер 4'!$35:$39</definedName>
    <definedName name="_xlnm.Print_Titles" localSheetId="0">'Литер 4'!$35:$39</definedName>
    <definedName name="_xlnm.Print_Area" localSheetId="0">'Литер 4'!$A$1:$O$178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5">
    <numFmt numFmtId="164" formatCode="#,##0.00_ ;[Red]\-#,##0.00\ "/>
    <numFmt numFmtId="165" formatCode="#,##0.000_ ;\-#,##0.000\ "/>
    <numFmt numFmtId="166" formatCode="0.00_ ;[Red]\-0.00\ "/>
    <numFmt numFmtId="167" formatCode="_-* #,##0.00\ _₽_-;\-* #,##0.00\ _₽_-;_-* &quot;-&quot;??\ _₽_-;_-@_-"/>
    <numFmt numFmtId="168" formatCode="_-* #,##0.00_-;\-* #,##0.00_-;_-* &quot;-&quot;??_-;_-@_-"/>
  </numFmts>
  <fonts count="19">
    <font>
      <name val="Arial Cyr"/>
      <charset val="204"/>
      <sz val="10"/>
    </font>
    <font>
      <name val="Arial Cyr"/>
      <charset val="204"/>
      <sz val="10"/>
    </font>
    <font>
      <name val="Calibri"/>
      <charset val="204"/>
      <family val="2"/>
      <b val="1"/>
      <color rgb="FF3F3F3F"/>
      <sz val="11"/>
    </font>
    <font>
      <name val="Calibri"/>
      <charset val="204"/>
      <family val="2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i val="1"/>
      <sz val="11"/>
    </font>
    <font>
      <name val="Times New Roman"/>
      <charset val="204"/>
      <family val="1"/>
      <sz val="11"/>
      <vertAlign val="superscript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  <u val="single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i val="1"/>
      <sz val="8"/>
    </font>
    <font>
      <name val="Times New Roman"/>
      <charset val="204"/>
      <family val="1"/>
      <sz val="8"/>
    </font>
    <font>
      <name val="Arial Cyr"/>
      <charset val="204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color theme="1"/>
      <sz val="12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7" tint="0.5999938962981048"/>
        <bgColor rgb="FFD9D9D9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9997863704336681"/>
        <bgColor rgb="FFF2F2F2"/>
      </patternFill>
    </fill>
    <fill>
      <patternFill patternType="solid">
        <fgColor theme="3" tint="0.7999816888943144"/>
        <b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rgb="FFBEE395"/>
        <bgColor indexed="64"/>
      </patternFill>
    </fill>
    <fill>
      <patternFill patternType="solid">
        <fgColor rgb="FFBEE395"/>
        <bgColor rgb="FFF2F2F2"/>
      </patternFill>
    </fill>
    <fill>
      <patternFill patternType="solid">
        <fgColor theme="9" tint="0.7999816888943144"/>
        <bgColor rgb="FFD9D9D9"/>
      </patternFill>
    </fill>
    <fill>
      <patternFill patternType="solid">
        <fgColor theme="3" tint="0.7999816888943144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/>
    <xf numFmtId="43" fontId="1" fillId="0" borderId="0"/>
    <xf numFmtId="0" fontId="2" fillId="3" borderId="12"/>
    <xf numFmtId="0" fontId="3" fillId="0" borderId="0"/>
  </cellStyleXfs>
  <cellXfs count="272">
    <xf numFmtId="0" fontId="0" fillId="0" borderId="0" pivotButton="0" quotePrefix="0" xfId="0"/>
    <xf numFmtId="0" fontId="4" fillId="0" borderId="3" applyAlignment="1" pivotButton="0" quotePrefix="0" xfId="3">
      <alignment horizontal="left" vertical="top" wrapText="1"/>
    </xf>
    <xf numFmtId="0" fontId="4" fillId="0" borderId="0" pivotButton="0" quotePrefix="0" xfId="3"/>
    <xf numFmtId="0" fontId="5" fillId="0" borderId="3" applyAlignment="1" pivotButton="0" quotePrefix="0" xfId="3">
      <alignment horizontal="center" vertical="center"/>
    </xf>
    <xf numFmtId="0" fontId="5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 wrapText="1"/>
    </xf>
    <xf numFmtId="164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right" vertical="top"/>
    </xf>
    <xf numFmtId="0" fontId="5" fillId="0" borderId="0" pivotButton="0" quotePrefix="0" xfId="0"/>
    <xf numFmtId="164" fontId="5" fillId="0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justify"/>
    </xf>
    <xf numFmtId="165" fontId="5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165" fontId="5" fillId="0" borderId="0" pivotButton="0" quotePrefix="0" xfId="0"/>
    <xf numFmtId="166" fontId="5" fillId="0" borderId="0" pivotButton="0" quotePrefix="0" xfId="0"/>
    <xf numFmtId="0" fontId="5" fillId="0" borderId="0" applyAlignment="1" pivotButton="0" quotePrefix="0" xfId="0">
      <alignment horizontal="center" vertical="justify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4" fontId="5" fillId="0" borderId="0" pivotButton="0" quotePrefix="0" xfId="0"/>
    <xf numFmtId="4" fontId="5" fillId="0" borderId="11" applyAlignment="1" pivotButton="0" quotePrefix="0" xfId="3">
      <alignment horizontal="right"/>
    </xf>
    <xf numFmtId="0" fontId="4" fillId="6" borderId="15" pivotButton="0" quotePrefix="0" xfId="3"/>
    <xf numFmtId="0" fontId="4" fillId="6" borderId="5" pivotButton="0" quotePrefix="0" xfId="3"/>
    <xf numFmtId="0" fontId="6" fillId="5" borderId="15" applyAlignment="1" pivotButton="0" quotePrefix="0" xfId="3">
      <alignment horizontal="center" vertical="top" wrapText="1"/>
    </xf>
    <xf numFmtId="0" fontId="5" fillId="4" borderId="14" applyAlignment="1" pivotButton="0" quotePrefix="0" xfId="3">
      <alignment horizontal="center" vertical="center"/>
    </xf>
    <xf numFmtId="0" fontId="6" fillId="5" borderId="4" applyAlignment="1" pivotButton="0" quotePrefix="0" xfId="3">
      <alignment horizontal="center" vertical="top" wrapText="1"/>
    </xf>
    <xf numFmtId="0" fontId="6" fillId="5" borderId="15" applyAlignment="1" pivotButton="0" quotePrefix="0" xfId="3">
      <alignment horizontal="center" vertical="top"/>
    </xf>
    <xf numFmtId="0" fontId="9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4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top" wrapText="1"/>
    </xf>
    <xf numFmtId="164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right" vertical="top"/>
    </xf>
    <xf numFmtId="0" fontId="9" fillId="0" borderId="0" pivotButton="0" quotePrefix="0" xfId="0"/>
    <xf numFmtId="164" fontId="9" fillId="0" borderId="0" pivotButton="0" quotePrefix="0" xfId="0"/>
    <xf numFmtId="164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right" vertical="top" wrapText="1"/>
    </xf>
    <xf numFmtId="49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 wrapText="1"/>
    </xf>
    <xf numFmtId="0" fontId="13" fillId="2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0" pivotButton="0" quotePrefix="0" xfId="0"/>
    <xf numFmtId="164" fontId="9" fillId="2" borderId="0" applyAlignment="1" pivotButton="0" quotePrefix="0" xfId="0">
      <alignment horizontal="center"/>
    </xf>
    <xf numFmtId="164" fontId="9" fillId="2" borderId="0" pivotButton="0" quotePrefix="0" xfId="0"/>
    <xf numFmtId="164" fontId="9" fillId="2" borderId="0" applyAlignment="1" pivotButton="0" quotePrefix="0" xfId="0">
      <alignment vertical="top"/>
    </xf>
    <xf numFmtId="0" fontId="13" fillId="0" borderId="0" pivotButton="0" quotePrefix="0" xfId="0"/>
    <xf numFmtId="16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right" vertical="top"/>
    </xf>
    <xf numFmtId="0" fontId="9" fillId="0" borderId="4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top"/>
    </xf>
    <xf numFmtId="165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top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vertical="center"/>
    </xf>
    <xf numFmtId="164" fontId="9" fillId="0" borderId="2" applyAlignment="1" pivotButton="0" quotePrefix="0" xfId="0">
      <alignment horizontal="center" vertical="center"/>
    </xf>
    <xf numFmtId="4" fontId="9" fillId="0" borderId="2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4" fontId="9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164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left" vertical="top"/>
    </xf>
    <xf numFmtId="164" fontId="9" fillId="0" borderId="2" applyAlignment="1" pivotButton="0" quotePrefix="0" xfId="0">
      <alignment horizontal="left" vertical="top"/>
    </xf>
    <xf numFmtId="0" fontId="14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vertical="top"/>
    </xf>
    <xf numFmtId="164" fontId="15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5" fillId="0" borderId="3" applyAlignment="1" pivotButton="0" quotePrefix="0" xfId="3">
      <alignment horizontal="center" wrapText="1"/>
    </xf>
    <xf numFmtId="4" fontId="5" fillId="0" borderId="7" applyAlignment="1" pivotButton="0" quotePrefix="0" xfId="3">
      <alignment horizontal="center"/>
    </xf>
    <xf numFmtId="4" fontId="9" fillId="0" borderId="2" applyAlignment="1" pivotButton="0" quotePrefix="0" xfId="0">
      <alignment vertical="center"/>
    </xf>
    <xf numFmtId="164" fontId="7" fillId="0" borderId="0" applyAlignment="1" pivotButton="0" quotePrefix="0" xfId="0">
      <alignment horizontal="center" vertical="top"/>
    </xf>
    <xf numFmtId="164" fontId="5" fillId="0" borderId="0" applyAlignment="1" pivotButton="0" quotePrefix="0" xfId="0">
      <alignment horizontal="right" vertical="top"/>
    </xf>
    <xf numFmtId="3" fontId="9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left" vertical="top"/>
    </xf>
    <xf numFmtId="164" fontId="9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right" vertical="top"/>
    </xf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horizontal="right" vertical="top"/>
    </xf>
    <xf numFmtId="0" fontId="5" fillId="0" borderId="2" applyAlignment="1" pivotButton="0" quotePrefix="0" xfId="0">
      <alignment vertical="center"/>
    </xf>
    <xf numFmtId="164" fontId="18" fillId="0" borderId="0" applyAlignment="1" pivotButton="0" quotePrefix="0" xfId="0">
      <alignment horizontal="center" vertical="top"/>
    </xf>
    <xf numFmtId="0" fontId="5" fillId="7" borderId="14" applyAlignment="1" pivotButton="0" quotePrefix="0" xfId="0">
      <alignment horizontal="center" vertical="center" wrapText="1"/>
    </xf>
    <xf numFmtId="0" fontId="5" fillId="7" borderId="10" applyAlignment="1" pivotButton="0" quotePrefix="0" xfId="0">
      <alignment horizontal="center" vertical="center" wrapText="1"/>
    </xf>
    <xf numFmtId="0" fontId="4" fillId="7" borderId="13" pivotButton="0" quotePrefix="0" xfId="3"/>
    <xf numFmtId="0" fontId="4" fillId="7" borderId="13" applyAlignment="1" pivotButton="0" quotePrefix="0" xfId="3">
      <alignment horizontal="center"/>
    </xf>
    <xf numFmtId="0" fontId="4" fillId="7" borderId="11" applyAlignment="1" pivotButton="0" quotePrefix="0" xfId="3">
      <alignment horizontal="center"/>
    </xf>
    <xf numFmtId="0" fontId="4" fillId="10" borderId="15" pivotButton="0" quotePrefix="0" xfId="3"/>
    <xf numFmtId="0" fontId="5" fillId="11" borderId="14" applyAlignment="1" pivotButton="0" quotePrefix="0" xfId="0">
      <alignment horizontal="center" vertical="center" wrapText="1"/>
    </xf>
    <xf numFmtId="0" fontId="5" fillId="11" borderId="10" applyAlignment="1" pivotButton="0" quotePrefix="0" xfId="0">
      <alignment horizontal="center" vertical="center" wrapText="1"/>
    </xf>
    <xf numFmtId="0" fontId="5" fillId="13" borderId="14" applyAlignment="1" pivotButton="0" quotePrefix="0" xfId="0">
      <alignment horizontal="center" vertical="center" wrapText="1"/>
    </xf>
    <xf numFmtId="0" fontId="5" fillId="13" borderId="10" applyAlignment="1" pivotButton="0" quotePrefix="0" xfId="0">
      <alignment horizontal="center" vertical="center" wrapText="1"/>
    </xf>
    <xf numFmtId="49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49" fontId="9" fillId="2" borderId="0" applyAlignment="1" pivotButton="0" quotePrefix="0" xfId="0">
      <alignment vertical="top" wrapText="1"/>
    </xf>
    <xf numFmtId="49" fontId="9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7" borderId="11" applyAlignment="1" pivotButton="0" quotePrefix="0" xfId="3">
      <alignment horizontal="center" vertical="center" wrapText="1"/>
    </xf>
    <xf numFmtId="0" fontId="5" fillId="7" borderId="14" applyAlignment="1" pivotButton="0" quotePrefix="0" xfId="0">
      <alignment horizontal="center" vertical="center" wrapText="1"/>
    </xf>
    <xf numFmtId="0" fontId="4" fillId="7" borderId="3" applyAlignment="1" pivotButton="0" quotePrefix="0" xfId="3">
      <alignment horizontal="center"/>
    </xf>
    <xf numFmtId="0" fontId="5" fillId="7" borderId="3" applyAlignment="1" pivotButton="0" quotePrefix="0" xfId="0">
      <alignment horizontal="center"/>
    </xf>
    <xf numFmtId="0" fontId="4" fillId="7" borderId="1" applyAlignment="1" pivotButton="0" quotePrefix="0" xfId="3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6" fillId="7" borderId="14" applyAlignment="1" pivotButton="0" quotePrefix="0" xfId="0">
      <alignment horizontal="center" vertical="center" wrapText="1"/>
    </xf>
    <xf numFmtId="2" fontId="9" fillId="0" borderId="4" applyAlignment="1" pivotButton="0" quotePrefix="0" xfId="0">
      <alignment horizontal="center" vertical="top"/>
    </xf>
    <xf numFmtId="2" fontId="9" fillId="0" borderId="15" applyAlignment="1" pivotButton="0" quotePrefix="0" xfId="0">
      <alignment horizontal="center" vertical="top"/>
    </xf>
    <xf numFmtId="2" fontId="9" fillId="0" borderId="5" applyAlignment="1" pivotButton="0" quotePrefix="0" xfId="0">
      <alignment horizontal="center" vertical="top"/>
    </xf>
    <xf numFmtId="1" fontId="9" fillId="0" borderId="4" applyAlignment="1" pivotButton="0" quotePrefix="0" xfId="0">
      <alignment horizontal="center" vertical="top"/>
    </xf>
    <xf numFmtId="1" fontId="9" fillId="0" borderId="15" applyAlignment="1" pivotButton="0" quotePrefix="0" xfId="0">
      <alignment horizontal="center" vertical="top"/>
    </xf>
    <xf numFmtId="1" fontId="9" fillId="0" borderId="5" applyAlignment="1" pivotButton="0" quotePrefix="0" xfId="0">
      <alignment horizontal="center" vertical="top"/>
    </xf>
    <xf numFmtId="0" fontId="9" fillId="0" borderId="10" applyAlignment="1" pivotButton="0" quotePrefix="0" xfId="0">
      <alignment horizontal="right" vertical="center"/>
    </xf>
    <xf numFmtId="1" fontId="9" fillId="0" borderId="3" applyAlignment="1" pivotButton="0" quotePrefix="1" xfId="0">
      <alignment horizontal="center" vertical="center"/>
    </xf>
    <xf numFmtId="1" fontId="9" fillId="0" borderId="6" applyAlignment="1" pivotButton="0" quotePrefix="1" xfId="0">
      <alignment horizontal="center" vertical="center"/>
    </xf>
    <xf numFmtId="1" fontId="9" fillId="0" borderId="1" applyAlignment="1" pivotButton="0" quotePrefix="1" xfId="0">
      <alignment horizontal="center" vertical="center"/>
    </xf>
    <xf numFmtId="1" fontId="9" fillId="0" borderId="7" applyAlignment="1" pivotButton="0" quotePrefix="1" xfId="0">
      <alignment horizontal="center" vertical="center"/>
    </xf>
    <xf numFmtId="1" fontId="9" fillId="0" borderId="8" applyAlignment="1" pivotButton="0" quotePrefix="1" xfId="0">
      <alignment horizontal="center" vertical="center"/>
    </xf>
    <xf numFmtId="1" fontId="9" fillId="0" borderId="2" applyAlignment="1" pivotButton="0" quotePrefix="1" xfId="0">
      <alignment horizontal="center" vertical="center"/>
    </xf>
    <xf numFmtId="1" fontId="9" fillId="0" borderId="9" applyAlignment="1" pivotButton="0" quotePrefix="1" xfId="0">
      <alignment horizontal="center" vertical="center"/>
    </xf>
    <xf numFmtId="1" fontId="9" fillId="0" borderId="6" applyAlignment="1" pivotButton="0" quotePrefix="0" xfId="0">
      <alignment horizontal="center" vertical="top"/>
    </xf>
    <xf numFmtId="1" fontId="9" fillId="0" borderId="1" applyAlignment="1" pivotButton="0" quotePrefix="0" xfId="0">
      <alignment horizontal="center" vertical="top"/>
    </xf>
    <xf numFmtId="1" fontId="9" fillId="0" borderId="7" applyAlignment="1" pivotButton="0" quotePrefix="0" xfId="0">
      <alignment horizontal="center" vertical="top"/>
    </xf>
    <xf numFmtId="1" fontId="9" fillId="0" borderId="8" applyAlignment="1" pivotButton="0" quotePrefix="0" xfId="0">
      <alignment horizontal="center" vertical="top"/>
    </xf>
    <xf numFmtId="1" fontId="9" fillId="0" borderId="2" applyAlignment="1" pivotButton="0" quotePrefix="0" xfId="0">
      <alignment horizontal="center" vertical="top"/>
    </xf>
    <xf numFmtId="1" fontId="9" fillId="0" borderId="9" applyAlignment="1" pivotButton="0" quotePrefix="0" xfId="0">
      <alignment horizontal="center" vertical="top"/>
    </xf>
    <xf numFmtId="0" fontId="9" fillId="0" borderId="0" applyAlignment="1" pivotButton="0" quotePrefix="0" xfId="0">
      <alignment horizontal="right" vertical="center"/>
    </xf>
    <xf numFmtId="0" fontId="4" fillId="13" borderId="11" applyAlignment="1" pivotButton="0" quotePrefix="0" xfId="3">
      <alignment horizontal="center" vertical="center" wrapText="1"/>
    </xf>
    <xf numFmtId="0" fontId="5" fillId="13" borderId="14" applyAlignment="1" pivotButton="0" quotePrefix="0" xfId="0">
      <alignment horizontal="center" vertical="center" wrapText="1"/>
    </xf>
    <xf numFmtId="0" fontId="4" fillId="11" borderId="11" applyAlignment="1" pivotButton="0" quotePrefix="0" xfId="3">
      <alignment horizontal="center" vertical="center" wrapText="1"/>
    </xf>
    <xf numFmtId="0" fontId="5" fillId="11" borderId="14" applyAlignment="1" pivotButton="0" quotePrefix="0" xfId="0">
      <alignment horizontal="center" vertical="center" wrapText="1"/>
    </xf>
    <xf numFmtId="0" fontId="4" fillId="11" borderId="1" applyAlignment="1" pivotButton="0" quotePrefix="0" xfId="3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4" fillId="13" borderId="1" applyAlignment="1" pivotButton="0" quotePrefix="0" xfId="3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top"/>
    </xf>
    <xf numFmtId="14" fontId="9" fillId="0" borderId="1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6" fillId="15" borderId="15" applyAlignment="1" pivotButton="0" quotePrefix="0" xfId="3">
      <alignment horizontal="center" vertical="top" wrapText="1"/>
    </xf>
    <xf numFmtId="0" fontId="4" fillId="10" borderId="5" pivotButton="0" quotePrefix="0" xfId="3"/>
    <xf numFmtId="167" fontId="4" fillId="11" borderId="13" applyAlignment="1" pivotButton="0" quotePrefix="0" xfId="3">
      <alignment horizontal="center"/>
    </xf>
    <xf numFmtId="168" fontId="4" fillId="13" borderId="13" pivotButton="0" quotePrefix="0" xfId="1"/>
    <xf numFmtId="0" fontId="6" fillId="15" borderId="4" applyAlignment="1" pivotButton="0" quotePrefix="0" xfId="3">
      <alignment horizontal="center" vertical="top" wrapText="1"/>
    </xf>
    <xf numFmtId="0" fontId="6" fillId="15" borderId="15" applyAlignment="1" pivotButton="0" quotePrefix="0" xfId="3">
      <alignment horizontal="center" vertical="top"/>
    </xf>
    <xf numFmtId="0" fontId="5" fillId="4" borderId="11" applyAlignment="1" pivotButton="0" quotePrefix="0" xfId="3">
      <alignment horizontal="center" vertical="center"/>
    </xf>
    <xf numFmtId="0" fontId="5" fillId="8" borderId="11" applyAlignment="1" pivotButton="0" quotePrefix="0" xfId="3">
      <alignment horizontal="center" vertical="center"/>
    </xf>
    <xf numFmtId="0" fontId="5" fillId="12" borderId="11" applyAlignment="1" pivotButton="0" quotePrefix="0" xfId="3">
      <alignment horizontal="center" vertical="center"/>
    </xf>
    <xf numFmtId="0" fontId="5" fillId="14" borderId="11" applyAlignment="1" pivotButton="0" quotePrefix="0" xfId="3">
      <alignment horizontal="center" vertical="center"/>
    </xf>
    <xf numFmtId="0" fontId="5" fillId="16" borderId="13" applyAlignment="1" pivotButton="0" quotePrefix="0" xfId="3">
      <alignment horizontal="center" vertical="center"/>
    </xf>
    <xf numFmtId="0" fontId="6" fillId="16" borderId="13" applyAlignment="1" pivotButton="0" quotePrefix="0" xfId="3">
      <alignment horizontal="left" vertical="top" wrapText="1"/>
    </xf>
    <xf numFmtId="0" fontId="6" fillId="16" borderId="13" applyAlignment="1" pivotButton="0" quotePrefix="0" xfId="3">
      <alignment horizontal="center" wrapText="1"/>
    </xf>
    <xf numFmtId="0" fontId="15" fillId="0" borderId="0" applyAlignment="1" pivotButton="0" quotePrefix="0" xfId="0">
      <alignment vertical="top"/>
    </xf>
    <xf numFmtId="0" fontId="5" fillId="17" borderId="6" applyAlignment="1" pivotButton="0" quotePrefix="0" xfId="2">
      <alignment horizontal="center" vertical="center" wrapText="1"/>
    </xf>
    <xf numFmtId="0" fontId="5" fillId="17" borderId="13" applyAlignment="1" pivotButton="0" quotePrefix="0" xfId="2">
      <alignment horizontal="center" vertical="center" wrapText="1"/>
    </xf>
    <xf numFmtId="0" fontId="5" fillId="17" borderId="11" applyAlignment="1" pivotButton="0" quotePrefix="0" xfId="2">
      <alignment horizontal="center" vertical="center" wrapText="1"/>
    </xf>
    <xf numFmtId="0" fontId="5" fillId="17" borderId="11" applyAlignment="1" pivotButton="0" quotePrefix="0" xfId="2">
      <alignment vertical="center" wrapText="1"/>
    </xf>
    <xf numFmtId="0" fontId="5" fillId="2" borderId="14" applyAlignment="1" pivotButton="0" quotePrefix="0" xfId="0">
      <alignment wrapText="1"/>
    </xf>
    <xf numFmtId="0" fontId="5" fillId="2" borderId="14" pivotButton="0" quotePrefix="0" xfId="0"/>
    <xf numFmtId="0" fontId="5" fillId="17" borderId="14" applyAlignment="1" pivotButton="0" quotePrefix="0" xfId="2">
      <alignment vertical="center" wrapText="1"/>
    </xf>
    <xf numFmtId="0" fontId="5" fillId="17" borderId="4" applyAlignment="1" pivotButton="0" quotePrefix="0" xfId="2">
      <alignment horizontal="center" vertical="center"/>
    </xf>
    <xf numFmtId="0" fontId="5" fillId="17" borderId="15" applyAlignment="1" pivotButton="0" quotePrefix="0" xfId="2">
      <alignment horizontal="center" vertical="center"/>
    </xf>
    <xf numFmtId="0" fontId="5" fillId="17" borderId="5" applyAlignment="1" pivotButton="0" quotePrefix="0" xfId="2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4" fontId="5" fillId="0" borderId="5" applyAlignment="1" pivotButton="0" quotePrefix="0" xfId="3">
      <alignment horizontal="center"/>
    </xf>
    <xf numFmtId="4" fontId="5" fillId="0" borderId="3" applyAlignment="1" pivotButton="0" quotePrefix="0" xfId="3">
      <alignment horizontal="right"/>
    </xf>
    <xf numFmtId="4" fontId="6" fillId="9" borderId="3" applyAlignment="1" pivotButton="0" quotePrefix="0" xfId="0">
      <alignment horizontal="center" wrapText="1"/>
    </xf>
    <xf numFmtId="4" fontId="6" fillId="9" borderId="13" applyAlignment="1" pivotButton="0" quotePrefix="0" xfId="0">
      <alignment horizontal="center" wrapText="1"/>
    </xf>
    <xf numFmtId="4" fontId="6" fillId="16" borderId="13" applyAlignment="1" pivotButton="0" quotePrefix="0" xfId="3">
      <alignment horizontal="right"/>
    </xf>
    <xf numFmtId="0" fontId="5" fillId="0" borderId="11" applyAlignment="1" pivotButton="0" quotePrefix="0" xfId="3">
      <alignment horizontal="center" vertical="center"/>
    </xf>
    <xf numFmtId="0" fontId="4" fillId="0" borderId="11" applyAlignment="1" pivotButton="0" quotePrefix="0" xfId="3">
      <alignment horizontal="left" vertical="top" wrapText="1"/>
    </xf>
    <xf numFmtId="0" fontId="5" fillId="0" borderId="11" applyAlignment="1" pivotButton="0" quotePrefix="0" xfId="3">
      <alignment horizontal="center" wrapText="1"/>
    </xf>
    <xf numFmtId="0" fontId="5" fillId="16" borderId="3" applyAlignment="1" pivotButton="0" quotePrefix="0" xfId="3">
      <alignment horizontal="center" vertical="center"/>
    </xf>
    <xf numFmtId="0" fontId="6" fillId="16" borderId="3" applyAlignment="1" pivotButton="0" quotePrefix="0" xfId="3">
      <alignment horizontal="left" vertical="top" wrapText="1"/>
    </xf>
    <xf numFmtId="0" fontId="6" fillId="16" borderId="3" applyAlignment="1" pivotButton="0" quotePrefix="0" xfId="3">
      <alignment horizontal="center" wrapText="1"/>
    </xf>
    <xf numFmtId="4" fontId="6" fillId="16" borderId="3" applyAlignment="1" pivotButton="0" quotePrefix="0" xfId="3">
      <alignment horizontal="right"/>
    </xf>
    <xf numFmtId="0" fontId="6" fillId="18" borderId="4" applyAlignment="1" pivotButton="0" quotePrefix="0" xfId="3">
      <alignment horizontal="center" vertical="top" wrapText="1"/>
    </xf>
    <xf numFmtId="0" fontId="6" fillId="18" borderId="15" applyAlignment="1" pivotButton="0" quotePrefix="0" xfId="3">
      <alignment horizontal="center" vertical="top" wrapText="1"/>
    </xf>
    <xf numFmtId="0" fontId="4" fillId="2" borderId="0" pivotButton="0" quotePrefix="0" xfId="3"/>
    <xf numFmtId="0" fontId="6" fillId="18" borderId="5" applyAlignment="1" pivotButton="0" quotePrefix="0" xfId="3">
      <alignment horizontal="right" vertical="top" wrapText="1"/>
    </xf>
    <xf numFmtId="0" fontId="6" fillId="0" borderId="3" applyAlignment="1" pivotButton="0" quotePrefix="0" xfId="3">
      <alignment horizontal="center" wrapText="1"/>
    </xf>
    <xf numFmtId="0" fontId="6" fillId="16" borderId="4" applyAlignment="1" pivotButton="0" quotePrefix="0" xfId="3">
      <alignment horizontal="center" wrapText="1"/>
    </xf>
    <xf numFmtId="0" fontId="5" fillId="0" borderId="4" applyAlignment="1" pivotButton="0" quotePrefix="0" xfId="3">
      <alignment horizontal="center" wrapText="1"/>
    </xf>
    <xf numFmtId="4" fontId="6" fillId="9" borderId="5" applyAlignment="1" pivotButton="0" quotePrefix="0" xfId="0">
      <alignment horizontal="center" wrapText="1"/>
    </xf>
    <xf numFmtId="0" fontId="6" fillId="5" borderId="2" applyAlignment="1" pivotButton="0" quotePrefix="0" xfId="3">
      <alignment horizontal="center" vertical="top" wrapText="1"/>
    </xf>
    <xf numFmtId="2" fontId="6" fillId="18" borderId="6" applyAlignment="1" pivotButton="0" quotePrefix="0" xfId="3">
      <alignment horizontal="center" vertical="center"/>
    </xf>
    <xf numFmtId="2" fontId="6" fillId="18" borderId="8" applyAlignment="1" pivotButton="0" quotePrefix="0" xfId="3">
      <alignment horizontal="center" vertical="center"/>
    </xf>
    <xf numFmtId="2" fontId="6" fillId="18" borderId="11" applyAlignment="1" pivotButton="0" quotePrefix="0" xfId="3">
      <alignment horizontal="center" vertical="center"/>
    </xf>
    <xf numFmtId="2" fontId="6" fillId="18" borderId="13" applyAlignment="1" pivotButton="0" quotePrefix="0" xfId="3">
      <alignment horizontal="center" vertical="center"/>
    </xf>
    <xf numFmtId="4" fontId="5" fillId="0" borderId="11" applyAlignment="1" pivotButton="0" quotePrefix="0" xfId="3">
      <alignment horizontal="center"/>
    </xf>
    <xf numFmtId="4" fontId="5" fillId="0" borderId="3" applyAlignment="1" pivotButton="0" quotePrefix="0" xfId="3">
      <alignment horizontal="center"/>
    </xf>
    <xf numFmtId="2" fontId="6" fillId="18" borderId="3" applyAlignment="1" pivotButton="0" quotePrefix="0" xfId="3">
      <alignment horizontal="center" vertical="center"/>
    </xf>
    <xf numFmtId="2" fontId="6" fillId="18" borderId="15" applyAlignment="1" pivotButton="0" quotePrefix="0" xfId="3">
      <alignment horizontal="center" vertical="top" wrapText="1"/>
    </xf>
    <xf numFmtId="4" fontId="6" fillId="18" borderId="15" applyAlignment="1" pivotButton="0" quotePrefix="0" xfId="3">
      <alignment horizontal="center" vertical="top" wrapText="1"/>
    </xf>
    <xf numFmtId="4" fontId="5" fillId="0" borderId="0" applyAlignment="1" pivotButton="0" quotePrefix="0" xfId="0">
      <alignment horizontal="right" vertical="top"/>
    </xf>
    <xf numFmtId="0" fontId="4" fillId="11" borderId="3" applyAlignment="1" pivotButton="0" quotePrefix="0" xfId="3">
      <alignment horizontal="center" wrapText="1"/>
    </xf>
    <xf numFmtId="0" fontId="5" fillId="11" borderId="3" applyAlignment="1" pivotButton="0" quotePrefix="0" xfId="0">
      <alignment horizontal="center" wrapText="1"/>
    </xf>
    <xf numFmtId="0" fontId="4" fillId="13" borderId="3" applyAlignment="1" pivotButton="0" quotePrefix="0" xfId="3">
      <alignment horizontal="center"/>
    </xf>
    <xf numFmtId="0" fontId="9" fillId="0" borderId="2" applyAlignment="1" pivotButton="0" quotePrefix="0" xfId="0">
      <alignment horizontal="right" vertical="top"/>
    </xf>
    <xf numFmtId="4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4" fillId="13" borderId="3" applyAlignment="1" pivotButton="0" quotePrefix="0" xfId="3">
      <alignment horizontal="left"/>
    </xf>
    <xf numFmtId="4" fontId="6" fillId="16" borderId="8" applyAlignment="1" pivotButton="0" quotePrefix="0" xfId="3">
      <alignment horizontal="right"/>
    </xf>
    <xf numFmtId="4" fontId="5" fillId="0" borderId="6" applyAlignment="1" pivotButton="0" quotePrefix="0" xfId="3">
      <alignment horizontal="right"/>
    </xf>
    <xf numFmtId="0" fontId="6" fillId="15" borderId="1" applyAlignment="1" pivotButton="0" quotePrefix="0" xfId="3">
      <alignment horizontal="center" vertical="top"/>
    </xf>
    <xf numFmtId="0" fontId="6" fillId="15" borderId="1" applyAlignment="1" pivotButton="0" quotePrefix="0" xfId="3">
      <alignment horizontal="center" vertical="top" wrapText="1"/>
    </xf>
    <xf numFmtId="0" fontId="4" fillId="10" borderId="1" pivotButton="0" quotePrefix="0" xfId="3"/>
    <xf numFmtId="0" fontId="4" fillId="10" borderId="7" pivotButton="0" quotePrefix="0" xfId="3"/>
    <xf numFmtId="167" fontId="4" fillId="11" borderId="11" applyAlignment="1" pivotButton="0" quotePrefix="0" xfId="3">
      <alignment horizontal="center"/>
    </xf>
    <xf numFmtId="0" fontId="4" fillId="13" borderId="11" pivotButton="0" quotePrefix="0" xfId="3"/>
    <xf numFmtId="2" fontId="5" fillId="13" borderId="13" applyAlignment="1" pivotButton="0" quotePrefix="0" xfId="3">
      <alignment horizontal="center"/>
    </xf>
    <xf numFmtId="168" fontId="4" fillId="13" borderId="11" pivotButton="0" quotePrefix="0" xfId="1"/>
    <xf numFmtId="4" fontId="4" fillId="7" borderId="11" pivotButton="0" quotePrefix="0" xfId="3"/>
    <xf numFmtId="4" fontId="4" fillId="7" borderId="13" pivotButton="0" quotePrefix="0" xfId="3"/>
    <xf numFmtId="2" fontId="4" fillId="13" borderId="11" pivotButton="0" quotePrefix="0" xfId="3"/>
    <xf numFmtId="4" fontId="6" fillId="15" borderId="15" applyAlignment="1" pivotButton="0" quotePrefix="0" xfId="3">
      <alignment horizontal="center" vertical="top"/>
    </xf>
    <xf numFmtId="4" fontId="6" fillId="5" borderId="15" applyAlignment="1" pivotButton="0" quotePrefix="0" xfId="3">
      <alignment horizontal="center" vertical="top"/>
    </xf>
    <xf numFmtId="0" fontId="6" fillId="18" borderId="4" applyAlignment="1" pivotButton="0" quotePrefix="0" xfId="3">
      <alignment horizontal="center" vertical="top"/>
    </xf>
    <xf numFmtId="0" fontId="6" fillId="18" borderId="5" applyAlignment="1" pivotButton="0" quotePrefix="0" xfId="3">
      <alignment horizontal="center" vertical="top"/>
    </xf>
    <xf numFmtId="4" fontId="6" fillId="18" borderId="15" applyAlignment="1" pivotButton="0" quotePrefix="0" xfId="3">
      <alignment horizontal="center" vertical="top"/>
    </xf>
    <xf numFmtId="4" fontId="17" fillId="2" borderId="5" pivotButton="0" quotePrefix="0" xfId="3"/>
    <xf numFmtId="4" fontId="17" fillId="2" borderId="15" pivotButton="0" quotePrefix="0" xfId="3"/>
    <xf numFmtId="2" fontId="4" fillId="7" borderId="11" applyAlignment="1" pivotButton="0" quotePrefix="0" xfId="3">
      <alignment horizontal="center"/>
    </xf>
    <xf numFmtId="2" fontId="9" fillId="0" borderId="3" applyAlignment="1" pivotButton="0" quotePrefix="0" xfId="0">
      <alignment horizontal="center" vertical="top"/>
    </xf>
    <xf numFmtId="0" fontId="0" fillId="0" borderId="15" pivotButton="0" quotePrefix="0" xfId="0"/>
    <xf numFmtId="0" fontId="0" fillId="0" borderId="5" pivotButton="0" quotePrefix="0" xfId="0"/>
    <xf numFmtId="1" fontId="9" fillId="0" borderId="3" applyAlignment="1" pivotButton="0" quotePrefix="0" xfId="0">
      <alignment horizontal="center" vertical="top"/>
    </xf>
    <xf numFmtId="0" fontId="0" fillId="0" borderId="1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14" fontId="9" fillId="0" borderId="3" applyAlignment="1" pivotButton="0" quotePrefix="0" xfId="0">
      <alignment horizontal="center" vertical="top"/>
    </xf>
    <xf numFmtId="0" fontId="5" fillId="17" borderId="3" applyAlignment="1" pivotButton="0" quotePrefix="0" xfId="2">
      <alignment horizontal="center" vertical="center"/>
    </xf>
    <xf numFmtId="0" fontId="5" fillId="2" borderId="3" applyAlignment="1" pivotButton="0" quotePrefix="0" xfId="0">
      <alignment horizontal="center"/>
    </xf>
    <xf numFmtId="0" fontId="4" fillId="7" borderId="15" applyAlignment="1" pivotButton="0" quotePrefix="0" xfId="3">
      <alignment horizontal="center" vertical="center" wrapText="1"/>
    </xf>
    <xf numFmtId="0" fontId="4" fillId="11" borderId="15" applyAlignment="1" pivotButton="0" quotePrefix="0" xfId="3">
      <alignment horizontal="center" vertical="center" wrapText="1"/>
    </xf>
    <xf numFmtId="0" fontId="4" fillId="13" borderId="15" applyAlignment="1" pivotButton="0" quotePrefix="0" xfId="3">
      <alignment horizontal="center" vertical="center" wrapText="1"/>
    </xf>
    <xf numFmtId="0" fontId="0" fillId="0" borderId="14" pivotButton="0" quotePrefix="0" xfId="0"/>
    <xf numFmtId="167" fontId="4" fillId="11" borderId="11" applyAlignment="1" pivotButton="0" quotePrefix="0" xfId="3">
      <alignment horizontal="center"/>
    </xf>
    <xf numFmtId="168" fontId="4" fillId="13" borderId="11" pivotButton="0" quotePrefix="0" xfId="1"/>
    <xf numFmtId="0" fontId="0" fillId="0" borderId="13" pivotButton="0" quotePrefix="0" xfId="0"/>
    <xf numFmtId="167" fontId="4" fillId="11" borderId="13" applyAlignment="1" pivotButton="0" quotePrefix="0" xfId="3">
      <alignment horizontal="center"/>
    </xf>
    <xf numFmtId="168" fontId="4" fillId="13" borderId="13" pivotButton="0" quotePrefix="0" xfId="1"/>
    <xf numFmtId="2" fontId="6" fillId="18" borderId="4" applyAlignment="1" pivotButton="0" quotePrefix="0" xfId="3">
      <alignment horizontal="center" vertical="center"/>
    </xf>
  </cellXfs>
  <cellStyles count="4">
    <cellStyle name="Обычный" xfId="0" builtinId="0"/>
    <cellStyle name="Финансовый" xfId="1" builtinId="3"/>
    <cellStyle name="Excel Built-in Output" xfId="2"/>
    <cellStyle name="Обычный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Y181"/>
  <sheetViews>
    <sheetView showGridLines="0" tabSelected="1" topLeftCell="A111" zoomScale="80" zoomScaleNormal="80" zoomScaleSheetLayoutView="100" workbookViewId="0">
      <pane xSplit="8" topLeftCell="I1" activePane="topRight" state="frozen"/>
      <selection activeCell="G1" sqref="G1"/>
      <selection pane="topRight" activeCell="N105" sqref="N105"/>
    </sheetView>
  </sheetViews>
  <sheetFormatPr baseColWidth="8" defaultColWidth="9.140625" defaultRowHeight="15"/>
  <cols>
    <col width="3.7109375" customWidth="1" style="26" min="1" max="1"/>
    <col width="83.85546875" customWidth="1" style="19" min="2" max="2"/>
    <col width="6.7109375" customWidth="1" style="5" min="3" max="3"/>
    <col width="11.140625" customWidth="1" style="8" min="4" max="4"/>
    <col width="10.7109375" customWidth="1" style="7" min="5" max="6"/>
    <col width="11.85546875" customWidth="1" style="7" min="7" max="7"/>
    <col width="15.7109375" customWidth="1" style="8" min="8" max="8"/>
    <col width="11.7109375" customWidth="1" style="13" min="9" max="9"/>
    <col width="15.7109375" customWidth="1" style="12" min="10" max="10"/>
    <col width="15.7109375" customWidth="1" style="10" min="11" max="11"/>
    <col width="11.7109375" customWidth="1" style="10" min="12" max="12"/>
    <col width="22.7109375" customWidth="1" style="10" min="13" max="13"/>
    <col width="11.7109375" customWidth="1" style="10" min="14" max="14"/>
    <col outlineLevel="1" width="22.7109375" customWidth="1" style="10" min="15" max="15"/>
    <col outlineLevel="1" width="14.140625" customWidth="1" style="10" min="16" max="16"/>
    <col outlineLevel="1" width="9.140625" customWidth="1" style="9" min="17" max="17"/>
    <col outlineLevel="1" width="14.140625" customWidth="1" style="10" min="18" max="19"/>
    <col outlineLevel="1" width="9.140625" customWidth="1" style="9" min="20" max="20"/>
    <col outlineLevel="1" width="14.140625" customWidth="1" style="10" min="21" max="22"/>
    <col outlineLevel="1" width="9.140625" customWidth="1" style="9" min="23" max="23"/>
    <col outlineLevel="1" width="14.140625" customWidth="1" style="10" min="24" max="25"/>
    <col outlineLevel="1" width="9.140625" customWidth="1" style="9" min="26" max="26"/>
    <col outlineLevel="1" width="14.140625" customWidth="1" style="10" min="27" max="28"/>
    <col outlineLevel="1" width="9.140625" customWidth="1" style="9" min="29" max="29"/>
    <col outlineLevel="1" width="14.140625" customWidth="1" style="10" min="30" max="31"/>
    <col outlineLevel="1" width="9.140625" customWidth="1" style="9" min="32" max="32"/>
    <col outlineLevel="1" width="14.140625" customWidth="1" style="10" min="33" max="34"/>
    <col outlineLevel="1" width="9.140625" customWidth="1" style="9" min="35" max="35"/>
    <col outlineLevel="1" width="14.140625" customWidth="1" style="10" min="36" max="37"/>
    <col outlineLevel="1" width="9.140625" customWidth="1" style="9" min="38" max="38"/>
    <col outlineLevel="1" width="14.140625" customWidth="1" style="10" min="39" max="40"/>
    <col outlineLevel="1" width="9.140625" customWidth="1" style="9" min="41" max="41"/>
    <col outlineLevel="1" width="14.140625" customWidth="1" style="10" min="42" max="43"/>
    <col outlineLevel="2" width="9.140625" customWidth="1" style="9" min="44" max="44"/>
    <col outlineLevel="2" width="14.140625" customWidth="1" style="10" min="45" max="46"/>
    <col outlineLevel="2" width="1.85546875" customWidth="1" style="10" min="47" max="47"/>
    <col width="10.7109375" customWidth="1" style="24" min="48" max="48"/>
    <col width="13.7109375" customWidth="1" style="10" min="49" max="49"/>
    <col width="12.7109375" customWidth="1" style="25" min="50" max="50"/>
    <col width="17.5703125" customWidth="1" style="10" min="51" max="51"/>
    <col width="9.140625" customWidth="1" style="9" min="52" max="16384"/>
  </cols>
  <sheetData>
    <row r="1" ht="15.75" customFormat="1" customHeight="1" s="46">
      <c r="A1" s="39" t="n"/>
      <c r="B1" s="40" t="n"/>
      <c r="C1" s="41" t="n"/>
      <c r="D1" s="42" t="n"/>
      <c r="E1" s="43" t="n"/>
      <c r="F1" s="43" t="n"/>
      <c r="G1" s="43" t="n"/>
      <c r="H1" s="44" t="n"/>
      <c r="I1" s="45" t="n"/>
      <c r="J1" s="48" t="n"/>
      <c r="K1" s="48" t="n"/>
      <c r="L1" s="44" t="n"/>
      <c r="M1" s="249" t="inlineStr">
        <is>
          <t>Код</t>
        </is>
      </c>
      <c r="N1" s="250" t="n"/>
      <c r="O1" s="251" t="n"/>
      <c r="P1" s="47" t="n"/>
      <c r="X1" s="47" t="n"/>
      <c r="Y1" s="47" t="n"/>
      <c r="AA1" s="47" t="n"/>
      <c r="AB1" s="47" t="n"/>
      <c r="AD1" s="47" t="n"/>
      <c r="AE1" s="47" t="n"/>
      <c r="AG1" s="47" t="n"/>
      <c r="AH1" s="47" t="n"/>
      <c r="AJ1" s="47" t="n"/>
      <c r="AK1" s="47" t="n"/>
      <c r="AM1" s="47" t="n"/>
      <c r="AN1" s="47" t="n"/>
      <c r="AP1" s="47" t="n"/>
      <c r="AQ1" s="47" t="n"/>
      <c r="AS1" s="47" t="n"/>
      <c r="AT1" s="47" t="n"/>
    </row>
    <row r="2" ht="15.75" customFormat="1" customHeight="1" s="46">
      <c r="A2" s="39" t="n"/>
      <c r="B2" s="40" t="n"/>
      <c r="C2" s="41" t="n"/>
      <c r="D2" s="42" t="n"/>
      <c r="E2" s="43" t="n"/>
      <c r="F2" s="43" t="n"/>
      <c r="G2" s="43" t="n"/>
      <c r="H2" s="44" t="n"/>
      <c r="I2" s="45" t="n"/>
      <c r="J2" s="45" t="n"/>
      <c r="K2" s="45" t="n"/>
      <c r="L2" s="44" t="inlineStr">
        <is>
          <t>Форма по ОКУД</t>
        </is>
      </c>
      <c r="M2" s="252" t="n">
        <v>322006</v>
      </c>
      <c r="N2" s="250" t="n"/>
      <c r="O2" s="251" t="n"/>
      <c r="P2" s="47" t="n"/>
      <c r="X2" s="47" t="n"/>
      <c r="Y2" s="47" t="n"/>
      <c r="AA2" s="47" t="n"/>
      <c r="AB2" s="47" t="n"/>
      <c r="AD2" s="47" t="n"/>
      <c r="AE2" s="47" t="n"/>
      <c r="AG2" s="47" t="n"/>
      <c r="AH2" s="47" t="n"/>
      <c r="AJ2" s="47" t="n"/>
      <c r="AK2" s="47" t="n"/>
      <c r="AM2" s="47" t="n"/>
      <c r="AN2" s="47" t="n"/>
      <c r="AP2" s="47" t="n"/>
      <c r="AQ2" s="47" t="n"/>
      <c r="AS2" s="47" t="n"/>
      <c r="AT2" s="47" t="n"/>
    </row>
    <row r="3" ht="36.75" customFormat="1" customHeight="1" s="46">
      <c r="B3" s="117" t="inlineStr">
        <is>
          <t>Генподрядчик: ООО "Плутос" 350066, Россия, Краснодарский край, г.о. город Краснодар, г. Краснодар, ул. Бородинская, д.16, пом.217.</t>
        </is>
      </c>
      <c r="I3" s="53" t="n"/>
      <c r="J3" s="54" t="n"/>
      <c r="K3" s="54" t="n"/>
      <c r="L3" s="135" t="inlineStr">
        <is>
          <t>по ОКПО</t>
        </is>
      </c>
      <c r="M3" s="136" t="n">
        <v>26966415</v>
      </c>
      <c r="N3" s="253" t="n"/>
      <c r="O3" s="254" t="n"/>
      <c r="P3" s="47" t="n"/>
      <c r="X3" s="47" t="n"/>
      <c r="Y3" s="47" t="n"/>
      <c r="Z3" s="50" t="n"/>
      <c r="AA3" s="47" t="n"/>
      <c r="AB3" s="47" t="n"/>
      <c r="AC3" s="50" t="n"/>
      <c r="AD3" s="47" t="n"/>
      <c r="AE3" s="47" t="n"/>
      <c r="AF3" s="50" t="n"/>
      <c r="AG3" s="47" t="n"/>
      <c r="AH3" s="47" t="n"/>
      <c r="AI3" s="50" t="n"/>
      <c r="AJ3" s="47" t="n"/>
      <c r="AK3" s="47" t="n"/>
      <c r="AL3" s="50" t="n"/>
      <c r="AM3" s="47" t="n"/>
      <c r="AN3" s="47" t="n"/>
      <c r="AO3" s="50" t="n"/>
      <c r="AP3" s="47" t="n"/>
      <c r="AQ3" s="47" t="n"/>
      <c r="AR3" s="50" t="n"/>
      <c r="AS3" s="47" t="n"/>
      <c r="AT3" s="47" t="n"/>
    </row>
    <row r="4" ht="15.75" customFormat="1" customHeight="1" s="46">
      <c r="B4" s="55" t="n"/>
      <c r="C4" s="56" t="n"/>
      <c r="D4" s="57" t="n"/>
      <c r="E4" s="58" t="n"/>
      <c r="F4" s="58" t="n"/>
      <c r="G4" s="58" t="n"/>
      <c r="H4" s="57" t="n"/>
      <c r="I4" s="59" t="n"/>
      <c r="J4" s="45" t="n"/>
      <c r="K4" s="45" t="n"/>
      <c r="L4" s="255" t="n"/>
      <c r="M4" s="256" t="n"/>
      <c r="N4" s="257" t="n"/>
      <c r="O4" s="258" t="n"/>
      <c r="P4" s="47" t="n"/>
      <c r="X4" s="47" t="n"/>
      <c r="Y4" s="47" t="n"/>
      <c r="Z4" s="50" t="n"/>
      <c r="AA4" s="47" t="n"/>
      <c r="AB4" s="47" t="n"/>
      <c r="AC4" s="50" t="n"/>
      <c r="AD4" s="47" t="n"/>
      <c r="AE4" s="47" t="n"/>
      <c r="AF4" s="50" t="n"/>
      <c r="AG4" s="47" t="n"/>
      <c r="AH4" s="47" t="n"/>
      <c r="AI4" s="50" t="n"/>
      <c r="AJ4" s="47" t="n"/>
      <c r="AK4" s="47" t="n"/>
      <c r="AL4" s="50" t="n"/>
      <c r="AM4" s="47" t="n"/>
      <c r="AN4" s="47" t="n"/>
      <c r="AO4" s="50" t="n"/>
      <c r="AP4" s="47" t="n"/>
      <c r="AQ4" s="47" t="n"/>
      <c r="AR4" s="50" t="n"/>
      <c r="AS4" s="47" t="n"/>
      <c r="AT4" s="47" t="n"/>
    </row>
    <row r="5" ht="36.75" customFormat="1" customHeight="1" s="46">
      <c r="B5" s="119" t="inlineStr">
        <is>
          <t>Подрядчик:  ООО «Новая оконная компания» ,  350090, г. Краснодар, проезд Репина,  д. 1, помещ. №175</t>
        </is>
      </c>
      <c r="I5" s="60" t="n"/>
      <c r="J5" s="54" t="n"/>
      <c r="K5" s="54" t="n"/>
      <c r="L5" s="135" t="inlineStr">
        <is>
          <t>по ОКПО</t>
        </is>
      </c>
      <c r="M5" s="136" t="n">
        <v>88975672</v>
      </c>
      <c r="N5" s="253" t="n"/>
      <c r="O5" s="254" t="n"/>
      <c r="P5" s="47" t="n"/>
      <c r="X5" s="47" t="n"/>
      <c r="Y5" s="47" t="n"/>
      <c r="AA5" s="47" t="n"/>
      <c r="AB5" s="47" t="n"/>
      <c r="AD5" s="47" t="n"/>
      <c r="AE5" s="47" t="n"/>
      <c r="AG5" s="47" t="n"/>
      <c r="AH5" s="47" t="n"/>
      <c r="AJ5" s="47" t="n"/>
      <c r="AK5" s="47" t="n"/>
      <c r="AM5" s="47" t="n"/>
      <c r="AN5" s="47" t="n"/>
      <c r="AP5" s="47" t="n"/>
      <c r="AQ5" s="47" t="n"/>
      <c r="AS5" s="47" t="n"/>
      <c r="AT5" s="47" t="n"/>
    </row>
    <row r="6" ht="15.75" customFormat="1" customHeight="1" s="46">
      <c r="B6" s="61" t="n"/>
      <c r="C6" s="51" t="n"/>
      <c r="E6" s="62" t="n"/>
      <c r="F6" s="62" t="n"/>
      <c r="G6" s="62" t="n"/>
      <c r="I6" s="47" t="n"/>
      <c r="J6" s="45" t="n"/>
      <c r="K6" s="45" t="n"/>
      <c r="L6" s="255" t="n"/>
      <c r="M6" s="256" t="n"/>
      <c r="N6" s="257" t="n"/>
      <c r="O6" s="258" t="n"/>
      <c r="P6" s="47" t="n"/>
      <c r="X6" s="47" t="n"/>
      <c r="Y6" s="47" t="n"/>
      <c r="AA6" s="47" t="n"/>
      <c r="AB6" s="47" t="n"/>
      <c r="AD6" s="47" t="n"/>
      <c r="AE6" s="47" t="n"/>
      <c r="AG6" s="47" t="n"/>
      <c r="AH6" s="47" t="n"/>
      <c r="AJ6" s="47" t="n"/>
      <c r="AK6" s="47" t="n"/>
      <c r="AM6" s="47" t="n"/>
      <c r="AN6" s="47" t="n"/>
      <c r="AP6" s="47" t="n"/>
      <c r="AQ6" s="47" t="n"/>
      <c r="AS6" s="47" t="n"/>
      <c r="AT6" s="47" t="n"/>
    </row>
    <row r="7" ht="51" customFormat="1" customHeight="1" s="46">
      <c r="B7" s="120" t="inlineStr">
        <is>
          <t>Стройка: «Строительство многоэтажного жилого дома со встроенно-пристроенными помещениями и автостоянкой по адресу: г.Краснодар, ул.Уральская, 100/8»</t>
        </is>
      </c>
      <c r="I7" s="63" t="n"/>
      <c r="J7" s="48" t="n"/>
      <c r="K7" s="48" t="n"/>
      <c r="L7" s="63" t="inlineStr">
        <is>
          <t xml:space="preserve"> </t>
        </is>
      </c>
      <c r="M7" s="252" t="n"/>
      <c r="N7" s="253" t="n"/>
      <c r="O7" s="254" t="n"/>
      <c r="P7" s="47" t="n"/>
      <c r="X7" s="47" t="n"/>
      <c r="Y7" s="47" t="n"/>
      <c r="AA7" s="47" t="n"/>
      <c r="AB7" s="47" t="n"/>
      <c r="AD7" s="47" t="n"/>
      <c r="AE7" s="47" t="n"/>
      <c r="AG7" s="47" t="n"/>
      <c r="AH7" s="47" t="n"/>
      <c r="AJ7" s="47" t="n"/>
      <c r="AK7" s="47" t="n"/>
      <c r="AM7" s="47" t="n"/>
      <c r="AN7" s="47" t="n"/>
      <c r="AP7" s="47" t="n"/>
      <c r="AQ7" s="47" t="n"/>
      <c r="AS7" s="47" t="n"/>
      <c r="AT7" s="47" t="n"/>
    </row>
    <row r="8" ht="15.75" customFormat="1" customHeight="1" s="46">
      <c r="C8" s="51" t="n"/>
      <c r="E8" s="62" t="n"/>
      <c r="F8" s="62" t="n"/>
      <c r="G8" s="62" t="n"/>
      <c r="I8" s="47" t="n"/>
      <c r="J8" s="45" t="n"/>
      <c r="K8" s="45" t="n"/>
      <c r="L8" s="63" t="n"/>
      <c r="M8" s="256" t="n"/>
      <c r="N8" s="257" t="n"/>
      <c r="O8" s="258" t="n"/>
      <c r="P8" s="47" t="n"/>
      <c r="X8" s="47" t="n"/>
      <c r="Y8" s="47" t="n"/>
      <c r="AA8" s="47" t="n"/>
      <c r="AB8" s="47" t="n"/>
      <c r="AD8" s="47" t="n"/>
      <c r="AE8" s="47" t="n"/>
      <c r="AG8" s="47" t="n"/>
      <c r="AH8" s="47" t="n"/>
      <c r="AJ8" s="47" t="n"/>
      <c r="AK8" s="47" t="n"/>
      <c r="AM8" s="47" t="n"/>
      <c r="AN8" s="47" t="n"/>
      <c r="AP8" s="47" t="n"/>
      <c r="AQ8" s="47" t="n"/>
      <c r="AS8" s="47" t="n"/>
      <c r="AT8" s="47" t="n"/>
    </row>
    <row r="9" ht="55.5" customFormat="1" customHeight="1" s="46">
      <c r="B9" s="120" t="inlineStr">
        <is>
          <t>Объект: «Строительство многоэтажного жилого дома со встроенно-пристроенными помещениями и автостоянкой по адресу: г.Краснодар, ул.Уральская, 100/8»</t>
        </is>
      </c>
      <c r="I9" s="63" t="n"/>
      <c r="J9" s="135" t="inlineStr">
        <is>
          <t>Вид деятельности по ОКДП</t>
        </is>
      </c>
      <c r="L9" s="255" t="n"/>
      <c r="M9" s="252" t="n"/>
      <c r="N9" s="253" t="n"/>
      <c r="O9" s="254" t="n"/>
      <c r="P9" s="47" t="n"/>
      <c r="X9" s="47" t="n"/>
      <c r="Y9" s="47" t="n"/>
      <c r="AA9" s="47" t="n"/>
      <c r="AB9" s="47" t="n"/>
      <c r="AD9" s="47" t="n"/>
      <c r="AE9" s="47" t="n"/>
      <c r="AG9" s="47" t="n"/>
      <c r="AH9" s="47" t="n"/>
      <c r="AJ9" s="47" t="n"/>
      <c r="AK9" s="47" t="n"/>
      <c r="AM9" s="47" t="n"/>
      <c r="AN9" s="47" t="n"/>
      <c r="AP9" s="47" t="n"/>
      <c r="AQ9" s="47" t="n"/>
      <c r="AS9" s="47" t="n"/>
      <c r="AT9" s="47" t="n"/>
    </row>
    <row r="10" ht="15.75" customFormat="1" customHeight="1" s="46">
      <c r="A10" s="39" t="n"/>
      <c r="C10" s="64" t="n"/>
      <c r="D10" s="42" t="n"/>
      <c r="E10" s="43" t="n"/>
      <c r="F10" s="43" t="n"/>
      <c r="G10" s="43" t="n"/>
      <c r="H10" s="52" t="n"/>
      <c r="I10" s="45" t="n"/>
      <c r="L10" s="255" t="n"/>
      <c r="M10" s="256" t="n"/>
      <c r="N10" s="257" t="n"/>
      <c r="O10" s="258" t="n"/>
      <c r="P10" s="47" t="n"/>
      <c r="X10" s="47" t="n"/>
      <c r="Y10" s="47" t="n"/>
      <c r="AA10" s="47" t="n"/>
      <c r="AB10" s="47" t="n"/>
      <c r="AD10" s="47" t="n"/>
      <c r="AE10" s="47" t="n"/>
      <c r="AG10" s="47" t="n"/>
      <c r="AH10" s="47" t="n"/>
      <c r="AJ10" s="47" t="n"/>
      <c r="AK10" s="47" t="n"/>
      <c r="AM10" s="47" t="n"/>
      <c r="AN10" s="47" t="n"/>
      <c r="AP10" s="47" t="n"/>
      <c r="AQ10" s="47" t="n"/>
      <c r="AS10" s="47" t="n"/>
      <c r="AT10" s="47" t="n"/>
    </row>
    <row r="11" ht="15.75" customFormat="1" customHeight="1" s="46">
      <c r="A11" s="39" t="n"/>
      <c r="B11" s="63" t="n"/>
      <c r="C11" s="41" t="n"/>
      <c r="D11" s="42" t="n"/>
      <c r="E11" s="43" t="n"/>
      <c r="F11" s="43" t="n"/>
      <c r="G11" s="43" t="n"/>
      <c r="H11" s="44" t="n"/>
      <c r="I11" s="45" t="n"/>
      <c r="J11" s="48" t="n"/>
      <c r="K11" s="48" t="n"/>
      <c r="M11" s="252" t="n"/>
      <c r="N11" s="253" t="n"/>
      <c r="O11" s="254" t="n"/>
      <c r="P11" s="47" t="n"/>
      <c r="X11" s="47" t="n"/>
      <c r="Y11" s="47" t="n"/>
      <c r="AA11" s="47" t="n"/>
      <c r="AB11" s="47" t="n"/>
      <c r="AD11" s="47" t="n"/>
      <c r="AE11" s="47" t="n"/>
      <c r="AG11" s="47" t="n"/>
      <c r="AH11" s="47" t="n"/>
      <c r="AJ11" s="47" t="n"/>
      <c r="AK11" s="47" t="n"/>
      <c r="AM11" s="47" t="n"/>
      <c r="AN11" s="47" t="n"/>
      <c r="AP11" s="47" t="n"/>
      <c r="AQ11" s="47" t="n"/>
      <c r="AS11" s="47" t="n"/>
      <c r="AT11" s="47" t="n"/>
    </row>
    <row r="12" ht="15.75" customFormat="1" customHeight="1" s="46">
      <c r="A12" s="39" t="n"/>
      <c r="B12" s="63" t="n"/>
      <c r="C12" s="41" t="n"/>
      <c r="D12" s="42" t="n"/>
      <c r="E12" s="43" t="n"/>
      <c r="F12" s="43" t="n"/>
      <c r="G12" s="43" t="n"/>
      <c r="H12" s="44" t="n"/>
      <c r="I12" s="45" t="n"/>
      <c r="J12" s="48" t="n"/>
      <c r="K12" s="48" t="n"/>
      <c r="L12" s="52" t="n"/>
      <c r="M12" s="256" t="n"/>
      <c r="N12" s="257" t="n"/>
      <c r="O12" s="258" t="n"/>
      <c r="P12" s="47" t="n"/>
      <c r="X12" s="47" t="n"/>
      <c r="Y12" s="47" t="n"/>
      <c r="AA12" s="47" t="n"/>
      <c r="AB12" s="47" t="n"/>
      <c r="AD12" s="47" t="n"/>
      <c r="AE12" s="47" t="n"/>
      <c r="AG12" s="47" t="n"/>
      <c r="AH12" s="47" t="n"/>
      <c r="AJ12" s="47" t="n"/>
      <c r="AK12" s="47" t="n"/>
      <c r="AM12" s="47" t="n"/>
      <c r="AN12" s="47" t="n"/>
      <c r="AP12" s="47" t="n"/>
      <c r="AQ12" s="47" t="n"/>
      <c r="AS12" s="47" t="n"/>
      <c r="AT12" s="47" t="n"/>
    </row>
    <row r="13" ht="20.25" customFormat="1" customHeight="1" s="46">
      <c r="A13" s="39" t="n"/>
      <c r="B13" s="63" t="n"/>
      <c r="C13" s="41" t="n"/>
      <c r="D13" s="44" t="n"/>
      <c r="E13" s="43" t="n"/>
      <c r="F13" s="43" t="n"/>
      <c r="G13" s="43" t="n"/>
      <c r="H13" s="44" t="n"/>
      <c r="I13" s="53" t="n"/>
      <c r="J13" s="47" t="n"/>
      <c r="K13" s="45" t="inlineStr">
        <is>
          <t>Договор подряда (контракт)</t>
        </is>
      </c>
      <c r="L13" s="65" t="inlineStr">
        <is>
          <t>номер</t>
        </is>
      </c>
      <c r="M13" s="252" t="inlineStr">
        <is>
          <t>01-25/РЖ-Л4-В</t>
        </is>
      </c>
      <c r="N13" s="250" t="n"/>
      <c r="O13" s="251" t="n"/>
      <c r="P13" s="47" t="n"/>
      <c r="X13" s="47" t="n"/>
      <c r="Y13" s="47" t="n"/>
      <c r="AA13" s="47" t="n"/>
      <c r="AB13" s="47" t="n"/>
      <c r="AD13" s="47" t="n"/>
      <c r="AE13" s="47" t="n"/>
      <c r="AG13" s="47" t="n"/>
      <c r="AH13" s="47" t="n"/>
      <c r="AJ13" s="47" t="n"/>
      <c r="AK13" s="47" t="n"/>
      <c r="AM13" s="47" t="n"/>
      <c r="AN13" s="47" t="n"/>
      <c r="AP13" s="47" t="n"/>
      <c r="AQ13" s="47" t="n"/>
      <c r="AS13" s="47" t="n"/>
      <c r="AT13" s="47" t="n"/>
    </row>
    <row r="14" ht="15.75" customFormat="1" customHeight="1" s="67">
      <c r="A14" s="63" t="n"/>
      <c r="B14" s="63" t="n"/>
      <c r="C14" s="41" t="n"/>
      <c r="D14" s="63" t="n"/>
      <c r="E14" s="43" t="n"/>
      <c r="F14" s="43" t="n"/>
      <c r="G14" s="43" t="n"/>
      <c r="H14" s="66" t="n"/>
      <c r="I14" s="48" t="n"/>
      <c r="L14" s="65" t="inlineStr">
        <is>
          <t>дата</t>
        </is>
      </c>
      <c r="M14" s="259" t="inlineStr">
        <is>
          <t>01.04.2025г.</t>
        </is>
      </c>
      <c r="N14" s="250" t="n"/>
      <c r="O14" s="251" t="n"/>
      <c r="P14" s="68" t="n"/>
      <c r="X14" s="68" t="n"/>
      <c r="Y14" s="68" t="n"/>
      <c r="AA14" s="68" t="n"/>
      <c r="AB14" s="68" t="n"/>
      <c r="AD14" s="68" t="n"/>
      <c r="AE14" s="68" t="n"/>
      <c r="AG14" s="68" t="n"/>
      <c r="AH14" s="68" t="n"/>
      <c r="AJ14" s="68" t="n"/>
      <c r="AK14" s="68" t="n"/>
      <c r="AM14" s="68" t="n"/>
      <c r="AN14" s="68" t="n"/>
      <c r="AP14" s="68" t="n"/>
      <c r="AQ14" s="68" t="n"/>
      <c r="AS14" s="68" t="n"/>
      <c r="AT14" s="68" t="n"/>
    </row>
    <row r="15" ht="15.75" customFormat="1" customHeight="1" s="67">
      <c r="C15" s="226" t="inlineStr">
        <is>
          <t>ЖУРНАЛ УЧЕТА ВЫПОЛНЕННЫХ РАБОТ</t>
        </is>
      </c>
      <c r="L15" s="65" t="inlineStr">
        <is>
          <t>Вид операции</t>
        </is>
      </c>
      <c r="M15" s="252" t="n"/>
      <c r="N15" s="250" t="n"/>
      <c r="O15" s="251" t="n"/>
      <c r="P15" s="68" t="n"/>
      <c r="X15" s="68" t="n"/>
      <c r="Y15" s="68" t="n"/>
      <c r="AA15" s="68" t="n"/>
      <c r="AB15" s="68" t="n"/>
      <c r="AD15" s="68" t="n"/>
      <c r="AE15" s="68" t="n"/>
      <c r="AG15" s="68" t="n"/>
      <c r="AH15" s="68" t="n"/>
      <c r="AJ15" s="68" t="n"/>
      <c r="AK15" s="68" t="n"/>
      <c r="AM15" s="68" t="n"/>
      <c r="AN15" s="68" t="n"/>
      <c r="AP15" s="68" t="n"/>
      <c r="AQ15" s="68" t="n"/>
      <c r="AS15" s="68" t="n"/>
      <c r="AT15" s="68" t="n"/>
    </row>
    <row r="16" ht="15.75" customFormat="1" customHeight="1" s="67">
      <c r="C16" s="106" t="inlineStr">
        <is>
          <t>в период с 01.04.2025г. по 25.09.2026г.</t>
        </is>
      </c>
      <c r="L16" s="53" t="n"/>
      <c r="M16" s="68" t="n"/>
      <c r="N16" s="68" t="n"/>
      <c r="O16" s="68" t="n"/>
      <c r="P16" s="68" t="n"/>
      <c r="R16" s="68" t="n"/>
      <c r="S16" s="68" t="n"/>
      <c r="U16" s="68" t="n"/>
      <c r="V16" s="68" t="n"/>
      <c r="X16" s="68" t="n"/>
      <c r="Y16" s="68" t="n"/>
      <c r="AA16" s="68" t="n"/>
      <c r="AB16" s="68" t="n"/>
      <c r="AD16" s="68" t="n"/>
      <c r="AE16" s="68" t="n"/>
      <c r="AG16" s="68" t="n"/>
      <c r="AH16" s="68" t="n"/>
      <c r="AJ16" s="68" t="n"/>
      <c r="AK16" s="68" t="n"/>
      <c r="AM16" s="68" t="n"/>
      <c r="AN16" s="68" t="n"/>
      <c r="AP16" s="68" t="n"/>
      <c r="AQ16" s="68" t="n"/>
      <c r="AS16" s="68" t="n"/>
      <c r="AT16" s="68" t="n"/>
      <c r="AU16" s="68" t="n"/>
      <c r="AV16" s="70" t="n"/>
      <c r="AW16" s="68" t="n"/>
      <c r="AX16" s="71" t="n"/>
      <c r="AY16" s="68" t="n"/>
    </row>
    <row r="17" ht="15.75" customFormat="1" customHeight="1" s="67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  <c r="L17" s="41" t="n"/>
      <c r="M17" s="43" t="n"/>
      <c r="N17" s="66" t="n"/>
      <c r="O17" s="48" t="n"/>
      <c r="P17" s="49" t="n"/>
      <c r="R17" s="48" t="n"/>
      <c r="S17" s="48" t="n"/>
      <c r="T17" s="49" t="n"/>
      <c r="V17" s="48" t="n"/>
      <c r="W17" s="48" t="n"/>
      <c r="X17" s="49" t="n"/>
      <c r="Z17" s="48" t="n"/>
      <c r="AA17" s="48" t="n"/>
      <c r="AB17" s="49" t="n"/>
      <c r="AD17" s="48" t="n"/>
      <c r="AE17" s="48" t="n"/>
      <c r="AF17" s="49" t="n"/>
      <c r="AG17" s="68" t="n"/>
      <c r="AH17" s="68" t="n"/>
      <c r="AJ17" s="68" t="n"/>
      <c r="AK17" s="68" t="n"/>
      <c r="AM17" s="68" t="n"/>
      <c r="AN17" s="68" t="n"/>
      <c r="AP17" s="68" t="n"/>
      <c r="AQ17" s="68" t="n"/>
      <c r="AS17" s="68" t="n"/>
      <c r="AT17" s="68" t="n"/>
      <c r="AU17" s="68" t="n"/>
      <c r="AV17" s="70" t="n"/>
      <c r="AW17" s="68" t="n"/>
      <c r="AX17" s="71" t="n"/>
      <c r="AY17" s="68" t="n"/>
    </row>
    <row r="18" ht="15.75" customFormat="1" customHeight="1" s="67">
      <c r="H18" s="69" t="n"/>
      <c r="I18" s="45" t="n"/>
      <c r="Q18" s="45" t="n"/>
      <c r="R18" s="68" t="n"/>
      <c r="S18" s="68" t="n"/>
      <c r="T18" s="49" t="n"/>
      <c r="U18" s="45" t="n"/>
      <c r="V18" s="68" t="n"/>
      <c r="W18" s="68" t="n"/>
      <c r="X18" s="49" t="n"/>
      <c r="Y18" s="45" t="n"/>
      <c r="Z18" s="68" t="n"/>
      <c r="AA18" s="68" t="n"/>
      <c r="AB18" s="49" t="n"/>
      <c r="AC18" s="45" t="n"/>
      <c r="AD18" s="68" t="n"/>
      <c r="AE18" s="68" t="n"/>
      <c r="AF18" s="49" t="n"/>
      <c r="AG18" s="68" t="n"/>
      <c r="AH18" s="68" t="n"/>
      <c r="AJ18" s="68" t="n"/>
      <c r="AK18" s="68" t="n"/>
      <c r="AM18" s="68" t="n"/>
      <c r="AN18" s="68" t="n"/>
      <c r="AP18" s="68" t="n"/>
      <c r="AQ18" s="68" t="n"/>
      <c r="AS18" s="68" t="n"/>
      <c r="AT18" s="68" t="n"/>
      <c r="AU18" s="68" t="n"/>
      <c r="AV18" s="70" t="n"/>
      <c r="AW18" s="68" t="n"/>
      <c r="AX18" s="71" t="n"/>
      <c r="AY18" s="68" t="n"/>
    </row>
    <row r="19" ht="15.75" customFormat="1" customHeight="1" s="67">
      <c r="H19" s="73" t="n"/>
      <c r="I19" s="45" t="n"/>
      <c r="AG19" s="68" t="n"/>
      <c r="AH19" s="68" t="n"/>
      <c r="AJ19" s="68" t="n"/>
      <c r="AK19" s="68" t="n"/>
      <c r="AM19" s="68" t="n"/>
      <c r="AN19" s="68" t="n"/>
      <c r="AP19" s="68" t="n"/>
      <c r="AQ19" s="68" t="n"/>
      <c r="AS19" s="68" t="n"/>
      <c r="AT19" s="68" t="n"/>
      <c r="AU19" s="68" t="n"/>
      <c r="AV19" s="70" t="n"/>
      <c r="AW19" s="68" t="n"/>
      <c r="AX19" s="71" t="n"/>
      <c r="AY19" s="68" t="n"/>
    </row>
    <row r="20" ht="15.75" customFormat="1" customHeight="1" s="67">
      <c r="A20" s="72" t="n"/>
      <c r="B20" s="72" t="n"/>
      <c r="C20" s="49" t="n"/>
      <c r="D20" s="45" t="n"/>
      <c r="E20" s="72" t="n"/>
      <c r="F20" s="72" t="n"/>
      <c r="G20" s="72" t="n"/>
      <c r="H20" s="49" t="n"/>
      <c r="I20" s="45" t="n"/>
      <c r="AG20" s="68" t="n"/>
      <c r="AH20" s="68" t="n"/>
      <c r="AJ20" s="68" t="n"/>
      <c r="AK20" s="68" t="n"/>
      <c r="AM20" s="68" t="n"/>
      <c r="AN20" s="68" t="n"/>
      <c r="AP20" s="68" t="n"/>
      <c r="AQ20" s="68" t="n"/>
      <c r="AS20" s="68" t="n"/>
      <c r="AT20" s="68" t="n"/>
      <c r="AU20" s="68" t="n"/>
      <c r="AV20" s="70" t="n"/>
      <c r="AW20" s="68" t="n"/>
      <c r="AX20" s="71" t="n"/>
      <c r="AY20" s="68" t="n"/>
    </row>
    <row r="21" ht="15.75" customFormat="1" customHeight="1" s="17">
      <c r="A21" s="74" t="inlineStr">
        <is>
          <t xml:space="preserve">на </t>
        </is>
      </c>
      <c r="B21" s="75" t="inlineStr">
        <is>
          <t xml:space="preserve">комплекс работ по изготовлению и монтажу алюминиевых дверей и витражей </t>
        </is>
      </c>
      <c r="C21" s="62" t="n"/>
      <c r="D21" s="44" t="n"/>
      <c r="E21" s="76" t="n"/>
      <c r="F21" s="76" t="n"/>
      <c r="G21" s="76" t="n"/>
      <c r="H21" s="77" t="n"/>
      <c r="I21" s="45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18" t="n"/>
      <c r="AH21" s="18" t="n"/>
      <c r="AJ21" s="18" t="n"/>
      <c r="AK21" s="18" t="n"/>
      <c r="AM21" s="18" t="n"/>
      <c r="AN21" s="18" t="n"/>
      <c r="AP21" s="18" t="n"/>
      <c r="AQ21" s="18" t="n"/>
      <c r="AS21" s="18" t="n"/>
      <c r="AT21" s="18" t="n"/>
      <c r="AU21" s="18" t="n"/>
      <c r="AV21" s="20" t="n"/>
      <c r="AW21" s="18" t="n"/>
      <c r="AX21" s="21" t="n"/>
      <c r="AY21" s="18" t="n"/>
    </row>
    <row r="22" ht="15.75" customHeight="1">
      <c r="A22" s="17" t="n"/>
      <c r="B22" s="6" t="n"/>
      <c r="C22" s="23" t="n"/>
      <c r="D22" s="90" t="inlineStr">
        <is>
          <t>(наименование работ и затрат)</t>
        </is>
      </c>
      <c r="E22" s="17" t="n"/>
      <c r="F22" s="17" t="n"/>
      <c r="G22" s="17" t="n"/>
      <c r="H22" s="17" t="n"/>
      <c r="I22" s="9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</row>
    <row r="23">
      <c r="A23" s="12" t="n"/>
      <c r="B23" s="9" t="n"/>
      <c r="C23" s="14" t="n"/>
      <c r="D23" s="12" t="n"/>
      <c r="E23" s="13" t="n"/>
      <c r="F23" s="13" t="n"/>
      <c r="G23" s="13" t="n"/>
      <c r="H23" s="11" t="n"/>
      <c r="I23" s="98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</row>
    <row r="24" ht="15.75" customFormat="1" customHeight="1" s="81">
      <c r="A24" s="9" t="n"/>
      <c r="B24" s="8" t="n"/>
      <c r="C24" s="9" t="n"/>
      <c r="D24" s="8" t="n"/>
      <c r="E24" s="13" t="n"/>
      <c r="F24" s="13" t="n"/>
      <c r="G24" s="13" t="n"/>
      <c r="H24" s="8" t="n"/>
      <c r="I24" s="98" t="n"/>
      <c r="Q24" s="10" t="n"/>
      <c r="R24" s="13" t="n"/>
      <c r="S24" s="13" t="n"/>
      <c r="T24" s="12" t="n"/>
      <c r="U24" s="10" t="n"/>
      <c r="V24" s="13" t="n"/>
      <c r="W24" s="13" t="n"/>
      <c r="X24" s="12" t="n"/>
      <c r="Y24" s="10" t="n"/>
      <c r="Z24" s="13" t="n"/>
      <c r="AA24" s="13" t="n"/>
      <c r="AB24" s="12" t="n"/>
      <c r="AC24" s="10" t="n"/>
      <c r="AD24" s="13" t="n"/>
      <c r="AE24" s="13" t="n"/>
      <c r="AF24" s="12" t="n"/>
      <c r="AG24" s="82" t="n"/>
      <c r="AH24" s="82" t="n"/>
      <c r="AJ24" s="82" t="n"/>
      <c r="AK24" s="82" t="n"/>
      <c r="AM24" s="82" t="n"/>
      <c r="AN24" s="82" t="n"/>
      <c r="AP24" s="82" t="n"/>
      <c r="AQ24" s="82" t="n"/>
      <c r="AS24" s="82" t="n"/>
      <c r="AT24" s="82" t="n"/>
      <c r="AU24" s="82" t="n"/>
      <c r="AV24" s="83" t="n"/>
      <c r="AW24" s="82" t="n"/>
      <c r="AX24" s="84" t="n"/>
      <c r="AY24" s="82" t="n"/>
    </row>
    <row r="25" ht="15.75" customFormat="1" customHeight="1" s="27">
      <c r="A25" s="63" t="n"/>
      <c r="B25" s="225" t="inlineStr">
        <is>
          <t>Договорная стоимость в соответствии с договором подряда</t>
        </is>
      </c>
      <c r="C25" s="79" t="n"/>
      <c r="D25" s="78" t="n"/>
      <c r="E25" s="80" t="n"/>
      <c r="F25" s="224">
        <f>H176</f>
        <v/>
      </c>
      <c r="G25" s="257" t="n"/>
      <c r="H25" s="96" t="inlineStr">
        <is>
          <t>руб.</t>
        </is>
      </c>
      <c r="I25" s="99" t="n"/>
      <c r="Q25" s="10" t="n"/>
      <c r="R25" s="13" t="n"/>
      <c r="S25" s="13" t="n"/>
      <c r="T25" s="12" t="n"/>
      <c r="U25" s="10" t="n"/>
      <c r="V25" s="13" t="n"/>
      <c r="W25" s="13" t="n"/>
      <c r="X25" s="12" t="n"/>
      <c r="Y25" s="10" t="n"/>
      <c r="Z25" s="13" t="n"/>
      <c r="AA25" s="13" t="n"/>
      <c r="AB25" s="12" t="n"/>
      <c r="AC25" s="10" t="n"/>
      <c r="AD25" s="13" t="n"/>
      <c r="AE25" s="13" t="n"/>
      <c r="AF25" s="12" t="n"/>
      <c r="AG25" s="28" t="n"/>
      <c r="AH25" s="28" t="n"/>
      <c r="AJ25" s="28" t="n"/>
      <c r="AK25" s="28" t="n"/>
      <c r="AM25" s="28" t="n"/>
      <c r="AN25" s="28" t="n"/>
      <c r="AP25" s="28" t="n"/>
      <c r="AQ25" s="28" t="n"/>
      <c r="AS25" s="28" t="n"/>
      <c r="AT25" s="28" t="n"/>
      <c r="AU25" s="28" t="n"/>
      <c r="AV25" s="29" t="n"/>
      <c r="AW25" s="28" t="n"/>
      <c r="AX25" s="30" t="n"/>
      <c r="AY25" s="28" t="n"/>
    </row>
    <row r="26" ht="15.75" customFormat="1" customHeight="1" s="27">
      <c r="A26" s="15" t="n"/>
      <c r="C26" s="22" t="n"/>
      <c r="D26" s="31" t="n"/>
      <c r="E26" s="31" t="n"/>
      <c r="F26" s="31" t="n"/>
      <c r="G26" s="31" t="n"/>
      <c r="H26" s="31" t="n"/>
      <c r="I26" s="100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28" t="n"/>
      <c r="AH26" s="28" t="n"/>
      <c r="AJ26" s="28" t="n"/>
      <c r="AK26" s="28" t="n"/>
      <c r="AM26" s="28" t="n"/>
      <c r="AN26" s="28" t="n"/>
      <c r="AP26" s="28" t="n"/>
      <c r="AQ26" s="28" t="n"/>
      <c r="AS26" s="28" t="n"/>
      <c r="AT26" s="28" t="n"/>
      <c r="AU26" s="28" t="n"/>
      <c r="AV26" s="29" t="n"/>
      <c r="AW26" s="28" t="n"/>
      <c r="AX26" s="30" t="n"/>
      <c r="AY26" s="28" t="n"/>
    </row>
    <row r="27" ht="15" customFormat="1" customHeight="1" s="81">
      <c r="A27" s="15" t="n"/>
      <c r="B27" s="27" t="n"/>
      <c r="C27" s="22" t="n"/>
      <c r="D27" s="31" t="n"/>
      <c r="E27" s="31" t="n"/>
      <c r="F27" s="31" t="n"/>
      <c r="G27" s="31" t="n"/>
      <c r="H27" s="31" t="n"/>
      <c r="I27" s="100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82" t="n"/>
      <c r="AH27" s="82" t="n"/>
      <c r="AJ27" s="82" t="n"/>
      <c r="AK27" s="82" t="n"/>
      <c r="AM27" s="82" t="n"/>
      <c r="AN27" s="82" t="n"/>
      <c r="AP27" s="82" t="n"/>
      <c r="AQ27" s="82" t="n"/>
      <c r="AS27" s="82" t="n"/>
      <c r="AT27" s="82" t="n"/>
      <c r="AU27" s="82" t="n"/>
      <c r="AV27" s="83" t="n"/>
      <c r="AW27" s="82" t="n"/>
      <c r="AX27" s="84" t="n"/>
      <c r="AY27" s="82" t="n"/>
    </row>
    <row r="28" ht="15.75" customFormat="1" customHeight="1" s="27">
      <c r="B28" s="93" t="inlineStr">
        <is>
          <t>Составил           Инженер ПТО</t>
        </is>
      </c>
      <c r="C28" s="85" t="n"/>
      <c r="D28" s="86" t="n"/>
      <c r="E28" s="86" t="inlineStr">
        <is>
          <t>Добаткина О.С.</t>
        </is>
      </c>
      <c r="F28" s="86" t="n"/>
      <c r="G28" s="86" t="n"/>
      <c r="H28" s="105" t="n"/>
      <c r="I28" s="101" t="n"/>
      <c r="AG28" s="28" t="n"/>
      <c r="AH28" s="28" t="n"/>
      <c r="AJ28" s="28" t="n"/>
      <c r="AK28" s="28" t="n"/>
      <c r="AM28" s="28" t="n"/>
      <c r="AN28" s="28" t="n"/>
      <c r="AP28" s="28" t="n"/>
      <c r="AQ28" s="28" t="n"/>
      <c r="AS28" s="28" t="n"/>
      <c r="AT28" s="28" t="n"/>
      <c r="AU28" s="28" t="n"/>
      <c r="AV28" s="29" t="n"/>
      <c r="AW28" s="28" t="n"/>
      <c r="AX28" s="30" t="n"/>
      <c r="AY28" s="28" t="n"/>
    </row>
    <row r="29" ht="15.75" customFormat="1" customHeight="1" s="27">
      <c r="A29" s="16" t="n"/>
      <c r="B29" s="102" t="inlineStr">
        <is>
          <t>должность</t>
        </is>
      </c>
      <c r="D29" s="92" t="inlineStr">
        <is>
          <t>подпись</t>
        </is>
      </c>
      <c r="E29" s="91" t="inlineStr">
        <is>
          <t>расшифровка подписи</t>
        </is>
      </c>
      <c r="F29" s="174" t="n"/>
      <c r="G29" s="174" t="n"/>
      <c r="I29" s="13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28" t="n"/>
      <c r="AH29" s="28" t="n"/>
      <c r="AJ29" s="28" t="n"/>
      <c r="AK29" s="28" t="n"/>
      <c r="AM29" s="28" t="n"/>
      <c r="AN29" s="28" t="n"/>
      <c r="AP29" s="28" t="n"/>
      <c r="AQ29" s="28" t="n"/>
      <c r="AS29" s="28" t="n"/>
      <c r="AT29" s="28" t="n"/>
      <c r="AU29" s="28" t="n"/>
      <c r="AV29" s="29" t="n"/>
      <c r="AW29" s="28" t="n"/>
      <c r="AX29" s="30" t="n"/>
      <c r="AY29" s="28" t="n"/>
    </row>
    <row r="30" ht="15" customFormat="1" customHeight="1" s="81">
      <c r="A30" s="16" t="n"/>
      <c r="B30" s="16" t="n"/>
      <c r="C30" s="12" t="n"/>
      <c r="D30" s="12" t="n"/>
      <c r="E30" s="7" t="n"/>
      <c r="F30" s="7" t="n"/>
      <c r="G30" s="7" t="n"/>
      <c r="H30" s="12" t="n"/>
      <c r="I30" s="13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82" t="n"/>
      <c r="AH30" s="82" t="n"/>
      <c r="AJ30" s="82" t="n"/>
      <c r="AK30" s="82" t="n"/>
      <c r="AM30" s="82" t="n"/>
      <c r="AN30" s="82" t="n"/>
      <c r="AP30" s="82" t="n"/>
      <c r="AQ30" s="82" t="n"/>
      <c r="AS30" s="82" t="n"/>
      <c r="AT30" s="82" t="n"/>
      <c r="AU30" s="82" t="n"/>
      <c r="AV30" s="83" t="n"/>
      <c r="AW30" s="82" t="n"/>
      <c r="AX30" s="84" t="n"/>
      <c r="AY30" s="82" t="n"/>
    </row>
    <row r="31" ht="15.75" customFormat="1" customHeight="1" s="27">
      <c r="B31" s="223" t="inlineStr">
        <is>
          <t xml:space="preserve">   Проверил                                     </t>
        </is>
      </c>
      <c r="C31" s="87" t="n"/>
      <c r="D31" s="88" t="n"/>
      <c r="E31" s="89" t="n"/>
      <c r="F31" s="89" t="n"/>
      <c r="G31" s="89" t="n"/>
      <c r="H31" s="88" t="n"/>
      <c r="I31" s="68" t="n"/>
      <c r="AG31" s="28" t="n"/>
      <c r="AH31" s="28" t="n"/>
      <c r="AJ31" s="28" t="n"/>
      <c r="AK31" s="28" t="n"/>
      <c r="AM31" s="28" t="n"/>
      <c r="AN31" s="28" t="n"/>
      <c r="AP31" s="28" t="n"/>
      <c r="AQ31" s="28" t="n"/>
      <c r="AS31" s="28" t="n"/>
      <c r="AT31" s="28" t="n"/>
      <c r="AU31" s="28" t="n"/>
      <c r="AV31" s="29" t="n"/>
      <c r="AW31" s="28" t="n"/>
      <c r="AX31" s="30" t="n"/>
      <c r="AY31" s="28" t="n"/>
    </row>
    <row r="32" ht="15.75" customFormat="1" customHeight="1" s="27">
      <c r="A32" s="8" t="n"/>
      <c r="B32" s="104" t="inlineStr">
        <is>
          <t>должность</t>
        </is>
      </c>
      <c r="D32" s="92" t="inlineStr">
        <is>
          <t>подпись</t>
        </is>
      </c>
      <c r="E32" s="174" t="inlineStr">
        <is>
          <t>расшифровка подписи</t>
        </is>
      </c>
      <c r="F32" s="174" t="n"/>
      <c r="G32" s="174" t="n"/>
      <c r="I32" s="13" t="n"/>
      <c r="J32" s="12" t="n"/>
      <c r="K32" s="13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28" t="n"/>
      <c r="AH32" s="28" t="n"/>
      <c r="AJ32" s="28" t="n"/>
      <c r="AK32" s="28" t="n"/>
      <c r="AM32" s="28" t="n"/>
      <c r="AN32" s="28" t="n"/>
      <c r="AP32" s="28" t="n"/>
      <c r="AQ32" s="28" t="n"/>
      <c r="AS32" s="28" t="n"/>
      <c r="AT32" s="28" t="n"/>
      <c r="AU32" s="28" t="n"/>
      <c r="AV32" s="29" t="n"/>
      <c r="AW32" s="28" t="n"/>
      <c r="AX32" s="30" t="n"/>
      <c r="AY32" s="28" t="n"/>
    </row>
    <row r="33" customFormat="1" s="27">
      <c r="A33" s="17" t="n"/>
      <c r="B33" s="17" t="n"/>
      <c r="C33" s="8" t="n"/>
      <c r="E33" s="12" t="n"/>
      <c r="F33" s="12" t="n"/>
      <c r="G33" s="12" t="n"/>
      <c r="H33" s="12" t="n"/>
      <c r="I33" s="7" t="n"/>
      <c r="J33" s="12" t="n"/>
      <c r="K33" s="13" t="n"/>
      <c r="L33" s="28" t="n"/>
      <c r="M33" s="28" t="n"/>
      <c r="N33" s="28" t="n"/>
      <c r="O33" s="28" t="n"/>
      <c r="P33" s="28" t="n"/>
      <c r="R33" s="28" t="n"/>
      <c r="S33" s="28" t="n"/>
      <c r="U33" s="28" t="n"/>
      <c r="V33" s="28" t="n"/>
      <c r="X33" s="28" t="n"/>
      <c r="Y33" s="28" t="n"/>
      <c r="AA33" s="28" t="n"/>
      <c r="AB33" s="28" t="n"/>
      <c r="AD33" s="28" t="n"/>
      <c r="AE33" s="28" t="n"/>
      <c r="AG33" s="28" t="n"/>
      <c r="AH33" s="28" t="n"/>
      <c r="AJ33" s="28" t="n"/>
      <c r="AK33" s="28" t="n"/>
      <c r="AM33" s="28" t="n"/>
      <c r="AN33" s="28" t="n"/>
      <c r="AP33" s="28" t="n"/>
      <c r="AQ33" s="28" t="n"/>
      <c r="AS33" s="28" t="n"/>
      <c r="AT33" s="28" t="n"/>
      <c r="AU33" s="28" t="n"/>
      <c r="AV33" s="29" t="n"/>
      <c r="AW33" s="28" t="n"/>
      <c r="AX33" s="30" t="n"/>
      <c r="AY33" s="28" t="n"/>
    </row>
    <row r="34" ht="7.5" customFormat="1" customHeight="1" s="27">
      <c r="A34" s="17" t="n"/>
      <c r="B34" s="17" t="n"/>
      <c r="C34" s="5" t="n"/>
      <c r="D34" s="8" t="n"/>
      <c r="E34" s="7" t="n"/>
      <c r="F34" s="7" t="n"/>
      <c r="G34" s="7" t="n"/>
      <c r="H34" s="4" t="n"/>
      <c r="I34" s="7" t="n"/>
      <c r="J34" s="4" t="n"/>
      <c r="K34" s="7" t="n"/>
      <c r="L34" s="28" t="n"/>
      <c r="M34" s="28" t="n"/>
      <c r="N34" s="28" t="n"/>
      <c r="O34" s="28" t="n"/>
      <c r="P34" s="28" t="n"/>
      <c r="R34" s="28" t="n"/>
      <c r="S34" s="28" t="n"/>
      <c r="U34" s="28" t="n"/>
      <c r="V34" s="28" t="n"/>
      <c r="X34" s="28" t="n"/>
      <c r="Y34" s="28" t="n"/>
      <c r="AA34" s="28" t="n"/>
      <c r="AB34" s="28" t="n"/>
      <c r="AD34" s="28" t="n"/>
      <c r="AE34" s="28" t="n"/>
      <c r="AG34" s="28" t="n"/>
      <c r="AH34" s="28" t="n"/>
      <c r="AJ34" s="28" t="n"/>
      <c r="AK34" s="28" t="n"/>
      <c r="AM34" s="28" t="n"/>
      <c r="AN34" s="28" t="n"/>
      <c r="AP34" s="28" t="n"/>
      <c r="AQ34" s="28" t="n"/>
      <c r="AS34" s="28" t="n"/>
      <c r="AT34" s="28" t="n"/>
      <c r="AU34" s="28" t="n"/>
      <c r="AV34" s="29" t="n"/>
      <c r="AW34" s="28" t="n"/>
      <c r="AX34" s="30" t="n"/>
      <c r="AY34" s="28" t="n"/>
    </row>
    <row r="35" ht="28.5" customFormat="1" customHeight="1" s="2">
      <c r="A35" s="178" t="inlineStr">
        <is>
          <t>№ пп</t>
        </is>
      </c>
      <c r="B35" s="177" t="inlineStr">
        <is>
          <t xml:space="preserve">Наименование работ </t>
        </is>
      </c>
      <c r="C35" s="177" t="inlineStr">
        <is>
          <t>ед. изм.</t>
        </is>
      </c>
      <c r="D35" s="177" t="inlineStr">
        <is>
          <t>количество по проекту</t>
        </is>
      </c>
      <c r="E35" s="260" t="inlineStr">
        <is>
          <t>Цена за ед. изм., руб</t>
        </is>
      </c>
      <c r="F35" s="250" t="n"/>
      <c r="G35" s="251" t="n"/>
      <c r="H35" s="175" t="inlineStr">
        <is>
          <t>Стоимость,руб.</t>
        </is>
      </c>
      <c r="I35" s="124" t="inlineStr">
        <is>
          <t>Сентябрь 2026 года</t>
        </is>
      </c>
      <c r="J35" s="250" t="n"/>
      <c r="K35" s="251" t="n"/>
      <c r="L35" s="220" t="inlineStr">
        <is>
          <t>c апреля 2025 г. по сентябрь 2026г.</t>
        </is>
      </c>
      <c r="M35" s="251" t="n"/>
      <c r="N35" s="227" t="inlineStr">
        <is>
          <t>Остаток работ на октябрь 2026г.</t>
        </is>
      </c>
      <c r="O35" s="222" t="n"/>
    </row>
    <row r="36" ht="29.45" customFormat="1" customHeight="1" s="2">
      <c r="A36" s="181" t="n"/>
      <c r="B36" s="181" t="n"/>
      <c r="C36" s="181" t="n"/>
      <c r="D36" s="181" t="n"/>
      <c r="E36" s="180" t="n"/>
      <c r="F36" s="261" t="inlineStr">
        <is>
          <t>в том числе</t>
        </is>
      </c>
      <c r="G36" s="251" t="n"/>
      <c r="H36" s="179" t="n"/>
      <c r="I36" s="262" t="inlineStr">
        <is>
          <t>количество</t>
        </is>
      </c>
      <c r="J36" s="122" t="inlineStr">
        <is>
          <t>стоимость, руб.</t>
        </is>
      </c>
      <c r="K36" s="122" t="inlineStr">
        <is>
          <t>стоимость факти- чески выпол- ненных работ с начала строи- тельства, руб.</t>
        </is>
      </c>
      <c r="L36" s="263" t="inlineStr">
        <is>
          <t>количество</t>
        </is>
      </c>
      <c r="M36" s="152" t="inlineStr">
        <is>
          <t>стоимость, руб.</t>
        </is>
      </c>
      <c r="N36" s="264" t="inlineStr">
        <is>
          <t>количество</t>
        </is>
      </c>
      <c r="O36" s="150" t="inlineStr">
        <is>
          <t>стоимость, руб.</t>
        </is>
      </c>
    </row>
    <row r="37" ht="48.75" customFormat="1" customHeight="1" s="2">
      <c r="A37" s="181" t="n"/>
      <c r="B37" s="181" t="n"/>
      <c r="C37" s="181" t="n"/>
      <c r="D37" s="181" t="n"/>
      <c r="E37" s="185" t="inlineStr">
        <is>
          <t>всего</t>
        </is>
      </c>
      <c r="F37" s="186" t="inlineStr">
        <is>
          <t>Работа</t>
        </is>
      </c>
      <c r="G37" s="186" t="inlineStr">
        <is>
          <t>Материалы</t>
        </is>
      </c>
      <c r="H37" s="179" t="n"/>
      <c r="I37" s="257" t="n"/>
      <c r="J37" s="265" t="n"/>
      <c r="K37" s="265" t="n"/>
      <c r="L37" s="257" t="n"/>
      <c r="M37" s="265" t="n"/>
      <c r="N37" s="257" t="n"/>
      <c r="O37" s="265" t="n"/>
    </row>
    <row r="38" ht="35.25" customFormat="1" customHeight="1" s="2">
      <c r="A38" s="176" t="n"/>
      <c r="B38" s="176" t="n"/>
      <c r="C38" s="176" t="n"/>
      <c r="D38" s="176" t="n"/>
      <c r="E38" s="176" t="n"/>
      <c r="F38" s="176" t="n"/>
      <c r="G38" s="176" t="n"/>
      <c r="H38" s="176" t="n"/>
      <c r="I38" s="108" t="inlineStr">
        <is>
          <t>м2</t>
        </is>
      </c>
      <c r="J38" s="123" t="n"/>
      <c r="K38" s="265" t="n"/>
      <c r="L38" s="114" t="inlineStr">
        <is>
          <t>м2</t>
        </is>
      </c>
      <c r="M38" s="153" t="n"/>
      <c r="N38" s="116" t="inlineStr">
        <is>
          <t>м2</t>
        </is>
      </c>
      <c r="O38" s="151" t="n"/>
    </row>
    <row r="39" customFormat="1" s="2">
      <c r="A39" s="167" t="n">
        <v>1</v>
      </c>
      <c r="B39" s="36" t="n">
        <v>2</v>
      </c>
      <c r="C39" s="36" t="n">
        <v>3</v>
      </c>
      <c r="D39" s="167" t="n">
        <v>4</v>
      </c>
      <c r="E39" s="36" t="n">
        <v>5</v>
      </c>
      <c r="F39" s="36" t="n">
        <v>6</v>
      </c>
      <c r="G39" s="36" t="n">
        <v>7</v>
      </c>
      <c r="H39" s="167" t="n">
        <v>8</v>
      </c>
      <c r="I39" s="168">
        <f>9</f>
        <v/>
      </c>
      <c r="J39" s="168">
        <f>I39+1</f>
        <v/>
      </c>
      <c r="K39" s="168">
        <f>J39+1</f>
        <v/>
      </c>
      <c r="L39" s="169">
        <f>K39+1</f>
        <v/>
      </c>
      <c r="M39" s="169">
        <f>L39+1</f>
        <v/>
      </c>
      <c r="N39" s="170">
        <f>M39+1</f>
        <v/>
      </c>
      <c r="O39" s="170">
        <f>N39+1</f>
        <v/>
      </c>
    </row>
    <row r="40" ht="15.75" customFormat="1" customHeight="1" s="2">
      <c r="A40" s="37" t="n"/>
      <c r="B40" s="35" t="inlineStr">
        <is>
          <t xml:space="preserve">Блок-секция А </t>
        </is>
      </c>
      <c r="C40" s="35" t="n"/>
      <c r="D40" s="35" t="n"/>
      <c r="E40" s="35" t="n"/>
      <c r="F40" s="35" t="n"/>
      <c r="G40" s="35" t="n"/>
      <c r="H40" s="35" t="n"/>
      <c r="I40" s="38" t="n"/>
      <c r="J40" s="38" t="n"/>
      <c r="K40" s="38" t="n"/>
      <c r="L40" s="35" t="n"/>
      <c r="M40" s="33" t="n"/>
      <c r="N40" s="33" t="n"/>
      <c r="O40" s="34" t="n"/>
    </row>
    <row r="41" ht="15.75" customFormat="1" customHeight="1" s="2">
      <c r="A41" s="165" t="n"/>
      <c r="B41" s="161" t="inlineStr">
        <is>
          <t xml:space="preserve">Витражные блоки </t>
        </is>
      </c>
      <c r="C41" s="161" t="n"/>
      <c r="D41" s="161" t="n"/>
      <c r="E41" s="161" t="n"/>
      <c r="F41" s="161" t="n"/>
      <c r="G41" s="161" t="n"/>
      <c r="H41" s="161" t="n"/>
      <c r="I41" s="230" t="n"/>
      <c r="J41" s="230" t="n"/>
      <c r="K41" s="230" t="n"/>
      <c r="L41" s="231" t="n"/>
      <c r="M41" s="232" t="n"/>
      <c r="N41" s="232" t="n"/>
      <c r="O41" s="233" t="n"/>
    </row>
    <row r="42" ht="90" customFormat="1" customHeight="1" s="2">
      <c r="A42" s="171" t="n">
        <v>1</v>
      </c>
      <c r="B42" s="172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2" s="173" t="inlineStr">
        <is>
          <t>м2</t>
        </is>
      </c>
      <c r="D42" s="216" t="n">
        <v>80.98</v>
      </c>
      <c r="E42" s="208">
        <f>F42+G43</f>
        <v/>
      </c>
      <c r="F42" s="192" t="n">
        <v>2966</v>
      </c>
      <c r="G42" s="192" t="n"/>
      <c r="H42" s="228">
        <f>D42*E42</f>
        <v/>
      </c>
      <c r="I42" s="111">
        <f>ROUND(ROUND(D42,2)*0.7,2)</f>
        <v/>
      </c>
      <c r="J42" s="238">
        <f>I42*E42</f>
        <v/>
      </c>
      <c r="K42" s="238">
        <f>J42</f>
        <v/>
      </c>
      <c r="L42" s="266">
        <f>I42</f>
        <v/>
      </c>
      <c r="M42" s="266">
        <f>J42</f>
        <v/>
      </c>
      <c r="N42" s="240">
        <f>D42-L42</f>
        <v/>
      </c>
      <c r="O42" s="267">
        <f>H42-M42</f>
        <v/>
      </c>
    </row>
    <row r="43" customFormat="1" s="2">
      <c r="A43" s="194" t="n"/>
      <c r="B43" s="195" t="inlineStr">
        <is>
          <t xml:space="preserve">Витражный блок Вн-6 (4200х4820 мм) </t>
        </is>
      </c>
      <c r="C43" s="196" t="inlineStr">
        <is>
          <t>м2</t>
        </is>
      </c>
      <c r="D43" s="268" t="n"/>
      <c r="E43" s="95" t="n"/>
      <c r="F43" s="95" t="n"/>
      <c r="G43" s="95" t="n">
        <v>19734.44</v>
      </c>
      <c r="H43" s="229" t="n"/>
      <c r="I43" s="110" t="n"/>
      <c r="J43" s="239" t="n"/>
      <c r="K43" s="239" t="n"/>
      <c r="L43" s="269" t="n"/>
      <c r="M43" s="269" t="n"/>
      <c r="N43" s="236" t="n"/>
      <c r="O43" s="270" t="n"/>
    </row>
    <row r="44" ht="90" customFormat="1" customHeight="1" s="2">
      <c r="A44" s="197">
        <f>A42+1</f>
        <v/>
      </c>
      <c r="B44" s="198" t="inlineStr">
        <is>
          <t>Изготовление и монтаж витража Вн-8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4" s="199" t="inlineStr">
        <is>
          <t>м2</t>
        </is>
      </c>
      <c r="D44" s="216" t="n">
        <v>12.53</v>
      </c>
      <c r="E44" s="208">
        <f>F44+G45</f>
        <v/>
      </c>
      <c r="F44" s="191" t="n">
        <v>2966</v>
      </c>
      <c r="G44" s="191" t="n"/>
      <c r="H44" s="200">
        <f>D44*E44</f>
        <v/>
      </c>
      <c r="I44" s="111">
        <f>ROUND(ROUND(D44,2)*0.7,2)</f>
        <v/>
      </c>
      <c r="J44" s="238">
        <f>I44*E44</f>
        <v/>
      </c>
      <c r="K44" s="238">
        <f>J44</f>
        <v/>
      </c>
      <c r="L44" s="266">
        <f>I44</f>
        <v/>
      </c>
      <c r="M44" s="266">
        <f>J44</f>
        <v/>
      </c>
      <c r="N44" s="235">
        <f>D44-L44</f>
        <v/>
      </c>
      <c r="O44" s="267">
        <f>H44-M44</f>
        <v/>
      </c>
    </row>
    <row r="45" customFormat="1" s="2">
      <c r="A45" s="3" t="n"/>
      <c r="B45" s="1" t="inlineStr">
        <is>
          <t xml:space="preserve">Витражный блок Вн-8 (2600х4820 мм) </t>
        </is>
      </c>
      <c r="C45" s="94" t="inlineStr">
        <is>
          <t>м2</t>
        </is>
      </c>
      <c r="D45" s="268" t="n"/>
      <c r="E45" s="189" t="n"/>
      <c r="F45" s="189" t="n"/>
      <c r="G45" s="189" t="n">
        <v>19734.44</v>
      </c>
      <c r="H45" s="190" t="n"/>
      <c r="I45" s="110" t="n"/>
      <c r="J45" s="239" t="n"/>
      <c r="K45" s="239" t="n"/>
      <c r="L45" s="269" t="n"/>
      <c r="M45" s="269" t="n"/>
      <c r="N45" s="236" t="n"/>
      <c r="O45" s="270" t="n"/>
    </row>
    <row r="46" ht="90" customFormat="1" customHeight="1" s="2">
      <c r="A46" s="197">
        <f>A44+1</f>
        <v/>
      </c>
      <c r="B46" s="198" t="inlineStr">
        <is>
          <t>Изготовление и монтаж витража Вн-14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6" s="199" t="inlineStr">
        <is>
          <t>м2</t>
        </is>
      </c>
      <c r="D46" s="216" t="n">
        <v>11.98</v>
      </c>
      <c r="E46" s="208">
        <f>F46+G47</f>
        <v/>
      </c>
      <c r="F46" s="191" t="n">
        <v>2966</v>
      </c>
      <c r="G46" s="191" t="n"/>
      <c r="H46" s="200">
        <f>D46*E46</f>
        <v/>
      </c>
      <c r="I46" s="248">
        <f>ROUND(ROUND(D46,2)*0.7,2)</f>
        <v/>
      </c>
      <c r="J46" s="238">
        <f>I46*E46</f>
        <v/>
      </c>
      <c r="K46" s="238">
        <f>J46</f>
        <v/>
      </c>
      <c r="L46" s="266">
        <f>I46</f>
        <v/>
      </c>
      <c r="M46" s="266">
        <f>J46</f>
        <v/>
      </c>
      <c r="N46" s="235">
        <f>D46-L46</f>
        <v/>
      </c>
      <c r="O46" s="267">
        <f>H46-M46</f>
        <v/>
      </c>
    </row>
    <row r="47" customFormat="1" s="2">
      <c r="A47" s="3" t="n"/>
      <c r="B47" s="1" t="inlineStr">
        <is>
          <t xml:space="preserve">Витражный блок Вн-14 (2485х4820 мм) </t>
        </is>
      </c>
      <c r="C47" s="94" t="inlineStr">
        <is>
          <t>м2</t>
        </is>
      </c>
      <c r="D47" s="268" t="n"/>
      <c r="E47" s="189" t="n"/>
      <c r="F47" s="189" t="n"/>
      <c r="G47" s="189" t="n">
        <v>19734.44</v>
      </c>
      <c r="H47" s="190" t="n"/>
      <c r="I47" s="110" t="n"/>
      <c r="J47" s="239" t="n"/>
      <c r="K47" s="239" t="n"/>
      <c r="L47" s="269" t="n"/>
      <c r="M47" s="269" t="n"/>
      <c r="N47" s="236" t="n"/>
      <c r="O47" s="270" t="n"/>
    </row>
    <row r="48" ht="90" customFormat="1" customHeight="1" s="2">
      <c r="A48" s="197">
        <f>A46+1</f>
        <v/>
      </c>
      <c r="B48" s="198" t="inlineStr">
        <is>
          <t>Изготовление и монтаж витража Вн-15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8" s="199" t="inlineStr">
        <is>
          <t>м2</t>
        </is>
      </c>
      <c r="D48" s="216" t="n">
        <v>6.75</v>
      </c>
      <c r="E48" s="208">
        <f>F48+G49</f>
        <v/>
      </c>
      <c r="F48" s="191" t="n">
        <v>2966</v>
      </c>
      <c r="G48" s="191" t="n"/>
      <c r="H48" s="200">
        <f>D48*E48</f>
        <v/>
      </c>
      <c r="I48" s="111">
        <f>ROUND(ROUND(D48,2)*0.7,2)</f>
        <v/>
      </c>
      <c r="J48" s="238">
        <f>I48*E48</f>
        <v/>
      </c>
      <c r="K48" s="238">
        <f>J48</f>
        <v/>
      </c>
      <c r="L48" s="266">
        <f>I48</f>
        <v/>
      </c>
      <c r="M48" s="266">
        <f>J48</f>
        <v/>
      </c>
      <c r="N48" s="235">
        <f>D48-L48</f>
        <v/>
      </c>
      <c r="O48" s="267">
        <f>H48-M48</f>
        <v/>
      </c>
    </row>
    <row r="49" customFormat="1" s="2">
      <c r="A49" s="3" t="n"/>
      <c r="B49" s="1" t="inlineStr">
        <is>
          <t xml:space="preserve">Витражный блок Вн-15 (1400х4820 мм) </t>
        </is>
      </c>
      <c r="C49" s="94" t="inlineStr">
        <is>
          <t>м2</t>
        </is>
      </c>
      <c r="D49" s="268" t="n"/>
      <c r="E49" s="189" t="n"/>
      <c r="F49" s="189" t="n"/>
      <c r="G49" s="189" t="n">
        <v>19734.44</v>
      </c>
      <c r="H49" s="190" t="n"/>
      <c r="I49" s="110" t="n"/>
      <c r="J49" s="239" t="n"/>
      <c r="K49" s="239" t="n"/>
      <c r="L49" s="269" t="n"/>
      <c r="M49" s="269" t="n"/>
      <c r="N49" s="236" t="n"/>
      <c r="O49" s="270" t="n"/>
    </row>
    <row r="50" ht="90" customFormat="1" customHeight="1" s="2">
      <c r="A50" s="197">
        <f>A48+1</f>
        <v/>
      </c>
      <c r="B50" s="198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50" s="199" t="inlineStr">
        <is>
          <t>м2</t>
        </is>
      </c>
      <c r="D50" s="216" t="n">
        <v>29.24</v>
      </c>
      <c r="E50" s="208">
        <f>F50+G51</f>
        <v/>
      </c>
      <c r="F50" s="191" t="n">
        <v>2966</v>
      </c>
      <c r="G50" s="191" t="n"/>
      <c r="H50" s="200">
        <f>D50*E50</f>
        <v/>
      </c>
      <c r="I50" s="248">
        <f>ROUND(ROUND(D50,2)*0.7,2)</f>
        <v/>
      </c>
      <c r="J50" s="238">
        <f>I50*E50</f>
        <v/>
      </c>
      <c r="K50" s="238">
        <f>J50</f>
        <v/>
      </c>
      <c r="L50" s="266">
        <f>I50</f>
        <v/>
      </c>
      <c r="M50" s="266">
        <f>J50</f>
        <v/>
      </c>
      <c r="N50" s="235">
        <f>D50-L50</f>
        <v/>
      </c>
      <c r="O50" s="267">
        <f>H50-M50</f>
        <v/>
      </c>
    </row>
    <row r="51" customFormat="1" s="2">
      <c r="A51" s="3" t="n"/>
      <c r="B51" s="1" t="inlineStr">
        <is>
          <t xml:space="preserve">Витражный блок Вн-22 (2150х2720 мм) </t>
        </is>
      </c>
      <c r="C51" s="94" t="inlineStr">
        <is>
          <t>м2</t>
        </is>
      </c>
      <c r="D51" s="268" t="n"/>
      <c r="E51" s="189" t="n"/>
      <c r="F51" s="189" t="n"/>
      <c r="G51" s="189" t="n">
        <v>19734.44</v>
      </c>
      <c r="H51" s="190" t="n"/>
      <c r="I51" s="109" t="n"/>
      <c r="J51" s="239" t="n"/>
      <c r="K51" s="239" t="n"/>
      <c r="L51" s="269" t="n"/>
      <c r="M51" s="269" t="n"/>
      <c r="N51" s="236" t="n"/>
      <c r="O51" s="270" t="n"/>
    </row>
    <row r="52" ht="90" customFormat="1" customHeight="1" s="2">
      <c r="A52" s="197">
        <f>A50+1</f>
        <v/>
      </c>
      <c r="B52" s="198" t="inlineStr">
        <is>
          <t>Изготовление и монтаж витража Вн-23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52" s="199" t="inlineStr">
        <is>
          <t>м2</t>
        </is>
      </c>
      <c r="D52" s="216" t="n">
        <v>10.69</v>
      </c>
      <c r="E52" s="208">
        <f>F52+G53</f>
        <v/>
      </c>
      <c r="F52" s="191" t="n">
        <v>2966</v>
      </c>
      <c r="G52" s="191" t="n"/>
      <c r="H52" s="200">
        <f>D52*E52</f>
        <v/>
      </c>
      <c r="I52" s="111">
        <f>ROUND(ROUND(D52,2)*0.7,2)</f>
        <v/>
      </c>
      <c r="J52" s="238">
        <f>I52*E52</f>
        <v/>
      </c>
      <c r="K52" s="238">
        <f>J52</f>
        <v/>
      </c>
      <c r="L52" s="266">
        <f>I52</f>
        <v/>
      </c>
      <c r="M52" s="266">
        <f>J52</f>
        <v/>
      </c>
      <c r="N52" s="235">
        <f>D52-L52</f>
        <v/>
      </c>
      <c r="O52" s="267">
        <f>H52-M52</f>
        <v/>
      </c>
    </row>
    <row r="53" customFormat="1" s="2">
      <c r="A53" s="3" t="n"/>
      <c r="B53" s="1" t="inlineStr">
        <is>
          <t xml:space="preserve">Витражный блок Вн-23 (3540х3020 мм) </t>
        </is>
      </c>
      <c r="C53" s="94" t="inlineStr">
        <is>
          <t>м2</t>
        </is>
      </c>
      <c r="D53" s="268" t="n"/>
      <c r="E53" s="189" t="n"/>
      <c r="F53" s="189" t="n"/>
      <c r="G53" s="189" t="n">
        <v>19734.44</v>
      </c>
      <c r="H53" s="190" t="n"/>
      <c r="I53" s="110" t="n"/>
      <c r="J53" s="239" t="n"/>
      <c r="K53" s="239" t="n"/>
      <c r="L53" s="269" t="n"/>
      <c r="M53" s="269" t="n"/>
      <c r="N53" s="236" t="n"/>
      <c r="O53" s="270" t="n"/>
    </row>
    <row r="54" ht="90" customFormat="1" customHeight="1" s="2">
      <c r="A54" s="197">
        <f>A52+1</f>
        <v/>
      </c>
      <c r="B54" s="198" t="inlineStr">
        <is>
          <t>Изготовление и монтаж витража Вн-24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54" s="199" t="inlineStr">
        <is>
          <t>м2</t>
        </is>
      </c>
      <c r="D54" s="216" t="n">
        <v>7.88</v>
      </c>
      <c r="E54" s="208">
        <f>F54+G55</f>
        <v/>
      </c>
      <c r="F54" s="191" t="n">
        <v>2966</v>
      </c>
      <c r="G54" s="191" t="n"/>
      <c r="H54" s="200">
        <f>D54*E54</f>
        <v/>
      </c>
      <c r="I54" s="111">
        <f>ROUND(ROUND(D54,2)*0.7,2)</f>
        <v/>
      </c>
      <c r="J54" s="238">
        <f>I54*E54</f>
        <v/>
      </c>
      <c r="K54" s="238">
        <f>J54</f>
        <v/>
      </c>
      <c r="L54" s="266">
        <f>I54</f>
        <v/>
      </c>
      <c r="M54" s="266">
        <f>J54</f>
        <v/>
      </c>
      <c r="N54" s="235">
        <f>D54-L54</f>
        <v/>
      </c>
      <c r="O54" s="267">
        <f>H54-M54</f>
        <v/>
      </c>
    </row>
    <row r="55" customFormat="1" s="2">
      <c r="A55" s="3" t="n"/>
      <c r="B55" s="1" t="inlineStr">
        <is>
          <t xml:space="preserve">Витражный блок Вн-24 (2610х3020 мм) </t>
        </is>
      </c>
      <c r="C55" s="94" t="inlineStr">
        <is>
          <t>м2</t>
        </is>
      </c>
      <c r="D55" s="268" t="n"/>
      <c r="E55" s="189" t="n"/>
      <c r="F55" s="189" t="n"/>
      <c r="G55" s="189" t="n">
        <v>19734.44</v>
      </c>
      <c r="H55" s="190" t="n"/>
      <c r="I55" s="110" t="n"/>
      <c r="J55" s="239" t="n"/>
      <c r="K55" s="239" t="n"/>
      <c r="L55" s="269" t="n"/>
      <c r="M55" s="269" t="n"/>
      <c r="N55" s="236" t="n"/>
      <c r="O55" s="270" t="n"/>
    </row>
    <row r="56" ht="15.75" customFormat="1" customHeight="1" s="2">
      <c r="A56" s="165" t="n"/>
      <c r="B56" s="161" t="inlineStr">
        <is>
          <t xml:space="preserve">Двери наружные входные </t>
        </is>
      </c>
      <c r="C56" s="161" t="n"/>
      <c r="D56" s="161" t="n"/>
      <c r="E56" s="161" t="n"/>
      <c r="F56" s="161" t="n"/>
      <c r="G56" s="161" t="n"/>
      <c r="H56" s="161" t="n"/>
      <c r="I56" s="166" t="n"/>
      <c r="J56" s="241" t="n"/>
      <c r="K56" s="241" t="n"/>
      <c r="L56" s="161" t="n"/>
      <c r="M56" s="112" t="n"/>
      <c r="N56" s="112" t="n"/>
      <c r="O56" s="162" t="n"/>
    </row>
    <row r="57" ht="57" customFormat="1" customHeight="1" s="2">
      <c r="A57" s="171" t="n">
        <v>1</v>
      </c>
      <c r="B57" s="172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57" s="173" t="inlineStr">
        <is>
          <t>м2</t>
        </is>
      </c>
      <c r="D57" s="216">
        <f>2.41*1.3*6</f>
        <v/>
      </c>
      <c r="E57" s="208">
        <f>F57+G58</f>
        <v/>
      </c>
      <c r="F57" s="192" t="n">
        <v>2966</v>
      </c>
      <c r="G57" s="192" t="n"/>
      <c r="H57" s="193">
        <f>D57*E57</f>
        <v/>
      </c>
      <c r="I57" s="111">
        <f>ROUND(ROUND(D57,2)*0.7,2)</f>
        <v/>
      </c>
      <c r="J57" s="238">
        <f>I57*E57</f>
        <v/>
      </c>
      <c r="K57" s="238">
        <f>J57</f>
        <v/>
      </c>
      <c r="L57" s="266">
        <f>I57</f>
        <v/>
      </c>
      <c r="M57" s="266">
        <f>J57</f>
        <v/>
      </c>
      <c r="N57" s="235">
        <f>D57-L57</f>
        <v/>
      </c>
      <c r="O57" s="267">
        <f>H57-M57</f>
        <v/>
      </c>
    </row>
    <row r="58" customFormat="1" s="2">
      <c r="A58" s="194" t="n"/>
      <c r="B58" s="195" t="inlineStr">
        <is>
          <t xml:space="preserve">Дверной блок наружный  ДНМО 2410х1300 П </t>
        </is>
      </c>
      <c r="C58" s="196" t="inlineStr">
        <is>
          <t>м2</t>
        </is>
      </c>
      <c r="D58" s="268" t="n"/>
      <c r="E58" s="95" t="n"/>
      <c r="F58" s="95" t="n"/>
      <c r="G58" s="95" t="n">
        <v>19734.44</v>
      </c>
      <c r="H58" s="32" t="n"/>
      <c r="I58" s="110" t="n"/>
      <c r="J58" s="239" t="n"/>
      <c r="K58" s="239" t="n"/>
      <c r="L58" s="269" t="n"/>
      <c r="M58" s="269" t="n"/>
      <c r="N58" s="236" t="n"/>
      <c r="O58" s="270" t="n"/>
    </row>
    <row r="59" ht="57" customFormat="1" customHeight="1" s="2">
      <c r="A59" s="197">
        <f>A57+1</f>
        <v/>
      </c>
      <c r="B59" s="198" t="inlineStr">
        <is>
          <t xml:space="preserve">Изготовление и монтаж дверных блоков входных 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59" s="199" t="inlineStr">
        <is>
          <t>м2</t>
        </is>
      </c>
      <c r="D59" s="216">
        <f>2.1*1</f>
        <v/>
      </c>
      <c r="E59" s="208">
        <f>F59+G60</f>
        <v/>
      </c>
      <c r="F59" s="191" t="n">
        <v>2966</v>
      </c>
      <c r="G59" s="191" t="n"/>
      <c r="H59" s="200">
        <f>D59*E59</f>
        <v/>
      </c>
      <c r="I59" s="111">
        <f>ROUND(ROUND(D59,2)*0.7,2)</f>
        <v/>
      </c>
      <c r="J59" s="238">
        <f>I59*E59</f>
        <v/>
      </c>
      <c r="K59" s="238">
        <f>J59</f>
        <v/>
      </c>
      <c r="L59" s="266">
        <f>I59</f>
        <v/>
      </c>
      <c r="M59" s="266">
        <f>J59</f>
        <v/>
      </c>
      <c r="N59" s="235">
        <f>D59-L59</f>
        <v/>
      </c>
      <c r="O59" s="267">
        <f>H59-M59</f>
        <v/>
      </c>
    </row>
    <row r="60" customFormat="1" s="2">
      <c r="A60" s="3" t="n"/>
      <c r="B60" s="1" t="inlineStr">
        <is>
          <t xml:space="preserve">Дверной блок наружный ДМН 2100х1000 П </t>
        </is>
      </c>
      <c r="C60" s="94" t="inlineStr">
        <is>
          <t>м2</t>
        </is>
      </c>
      <c r="D60" s="268" t="n"/>
      <c r="E60" s="189" t="n"/>
      <c r="F60" s="189" t="n"/>
      <c r="G60" s="189" t="n">
        <v>19734.44</v>
      </c>
      <c r="H60" s="190" t="n"/>
      <c r="I60" s="110" t="n"/>
      <c r="J60" s="239" t="n"/>
      <c r="K60" s="239" t="n"/>
      <c r="L60" s="269" t="n"/>
      <c r="M60" s="269" t="n"/>
      <c r="N60" s="236" t="n"/>
      <c r="O60" s="270" t="n"/>
    </row>
    <row r="61" ht="57" customFormat="1" customHeight="1" s="2">
      <c r="A61" s="197">
        <f>A59+1</f>
        <v/>
      </c>
      <c r="B61" s="198" t="inlineStr">
        <is>
          <t xml:space="preserve">Изготовление и монтаж дверных блоков входных однопольных Д21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61" s="199" t="inlineStr">
        <is>
          <t>м2</t>
        </is>
      </c>
      <c r="D61" s="216">
        <f>2.1*1.2</f>
        <v/>
      </c>
      <c r="E61" s="208">
        <f>F61+G62</f>
        <v/>
      </c>
      <c r="F61" s="191" t="n">
        <v>2966</v>
      </c>
      <c r="G61" s="191" t="n"/>
      <c r="H61" s="200">
        <f>D61*E61</f>
        <v/>
      </c>
      <c r="I61" s="111">
        <f>ROUND(ROUND(D61,2)*0.7,2)</f>
        <v/>
      </c>
      <c r="J61" s="238">
        <f>I61*E61</f>
        <v/>
      </c>
      <c r="K61" s="238">
        <f>J61</f>
        <v/>
      </c>
      <c r="L61" s="266">
        <f>I61</f>
        <v/>
      </c>
      <c r="M61" s="266">
        <f>J61</f>
        <v/>
      </c>
      <c r="N61" s="235">
        <f>D61-L61</f>
        <v/>
      </c>
      <c r="O61" s="267">
        <f>H61-M61</f>
        <v/>
      </c>
    </row>
    <row r="62" customFormat="1" s="2">
      <c r="A62" s="3" t="n"/>
      <c r="B62" s="1" t="inlineStr">
        <is>
          <t xml:space="preserve">Дверной блок наружный ДНМО 2100х1200 П </t>
        </is>
      </c>
      <c r="C62" s="94" t="inlineStr">
        <is>
          <t>м2</t>
        </is>
      </c>
      <c r="D62" s="268" t="n"/>
      <c r="E62" s="189" t="n"/>
      <c r="F62" s="189" t="n"/>
      <c r="G62" s="189" t="n">
        <v>19734.44</v>
      </c>
      <c r="H62" s="190" t="n"/>
      <c r="I62" s="110" t="n"/>
      <c r="J62" s="239" t="n"/>
      <c r="K62" s="239" t="n"/>
      <c r="L62" s="269" t="n"/>
      <c r="M62" s="269" t="n"/>
      <c r="N62" s="236" t="n"/>
      <c r="O62" s="270" t="n"/>
    </row>
    <row r="63" ht="57" customFormat="1" customHeight="1" s="2">
      <c r="A63" s="197">
        <f>A61+1</f>
        <v/>
      </c>
      <c r="B63" s="198" t="inlineStr">
        <is>
          <t xml:space="preserve">Изготовление и монтаж дверных блоков входных двупольных 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63" s="199" t="inlineStr">
        <is>
          <t>м2</t>
        </is>
      </c>
      <c r="D63" s="216">
        <f>2.1*1.3</f>
        <v/>
      </c>
      <c r="E63" s="208">
        <f>F63+G64</f>
        <v/>
      </c>
      <c r="F63" s="191" t="n">
        <v>2966</v>
      </c>
      <c r="G63" s="191" t="n"/>
      <c r="H63" s="200">
        <f>D63*E63</f>
        <v/>
      </c>
      <c r="I63" s="111">
        <f>ROUND(ROUND(D63,2)*0.7,2)</f>
        <v/>
      </c>
      <c r="J63" s="238">
        <f>I63*E63</f>
        <v/>
      </c>
      <c r="K63" s="238">
        <f>J63</f>
        <v/>
      </c>
      <c r="L63" s="266">
        <f>I63</f>
        <v/>
      </c>
      <c r="M63" s="266">
        <f>J63</f>
        <v/>
      </c>
      <c r="N63" s="235">
        <f>D63-L63</f>
        <v/>
      </c>
      <c r="O63" s="267">
        <f>H63-M63</f>
        <v/>
      </c>
    </row>
    <row r="64" customFormat="1" s="2">
      <c r="A64" s="3" t="n"/>
      <c r="B64" s="1" t="inlineStr">
        <is>
          <t>Дверной блок наружный  ДМНО 2100х1300 П</t>
        </is>
      </c>
      <c r="C64" s="94" t="inlineStr">
        <is>
          <t>м2</t>
        </is>
      </c>
      <c r="D64" s="268" t="n"/>
      <c r="E64" s="189" t="n"/>
      <c r="F64" s="189" t="n"/>
      <c r="G64" s="189" t="n">
        <v>19734.44</v>
      </c>
      <c r="H64" s="190" t="n"/>
      <c r="I64" s="110" t="n"/>
      <c r="J64" s="239" t="n"/>
      <c r="K64" s="239" t="n"/>
      <c r="L64" s="269" t="n"/>
      <c r="M64" s="269" t="n"/>
      <c r="N64" s="236" t="n"/>
      <c r="O64" s="270" t="n"/>
    </row>
    <row r="65" ht="15.75" customFormat="1" customHeight="1" s="2">
      <c r="A65" s="37" t="n"/>
      <c r="B65" s="35" t="inlineStr">
        <is>
          <t>Блок-секция Б</t>
        </is>
      </c>
      <c r="C65" s="35" t="n"/>
      <c r="D65" s="35" t="n"/>
      <c r="E65" s="35" t="n"/>
      <c r="F65" s="35" t="n"/>
      <c r="G65" s="35" t="n"/>
      <c r="H65" s="35" t="n"/>
      <c r="I65" s="38" t="n"/>
      <c r="J65" s="242" t="n"/>
      <c r="K65" s="242" t="n"/>
      <c r="L65" s="35" t="n"/>
      <c r="M65" s="33" t="n"/>
      <c r="N65" s="33" t="n"/>
      <c r="O65" s="34" t="n"/>
    </row>
    <row r="66" ht="15.75" customFormat="1" customHeight="1" s="2">
      <c r="A66" s="165" t="n"/>
      <c r="B66" s="161" t="inlineStr">
        <is>
          <t xml:space="preserve">Витражные блоки </t>
        </is>
      </c>
      <c r="C66" s="161" t="n"/>
      <c r="D66" s="161" t="n"/>
      <c r="E66" s="161" t="n"/>
      <c r="F66" s="161" t="n"/>
      <c r="G66" s="161" t="n"/>
      <c r="H66" s="161" t="n"/>
      <c r="I66" s="166" t="n"/>
      <c r="J66" s="241" t="n"/>
      <c r="K66" s="241" t="n"/>
      <c r="L66" s="161" t="n"/>
      <c r="M66" s="112" t="n"/>
      <c r="N66" s="112" t="n"/>
      <c r="O66" s="162" t="n"/>
    </row>
    <row r="67" ht="90" customFormat="1" customHeight="1" s="2">
      <c r="A67" s="171" t="n">
        <v>1</v>
      </c>
      <c r="B67" s="172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67" s="173" t="inlineStr">
        <is>
          <t>м2</t>
        </is>
      </c>
      <c r="D67" s="216" t="n">
        <v>80.98</v>
      </c>
      <c r="E67" s="208">
        <f>F67+G68</f>
        <v/>
      </c>
      <c r="F67" s="192" t="n">
        <v>2966</v>
      </c>
      <c r="G67" s="192" t="n"/>
      <c r="H67" s="193">
        <f>D67*E67</f>
        <v/>
      </c>
      <c r="I67" s="248">
        <f>ROUND(ROUND(D67,2)*0.7,2)</f>
        <v/>
      </c>
      <c r="J67" s="238">
        <f>I67*E67</f>
        <v/>
      </c>
      <c r="K67" s="238">
        <f>J67</f>
        <v/>
      </c>
      <c r="L67" s="266">
        <f>I67</f>
        <v/>
      </c>
      <c r="M67" s="266">
        <f>J67</f>
        <v/>
      </c>
      <c r="N67" s="235">
        <f>D67-L67</f>
        <v/>
      </c>
      <c r="O67" s="267">
        <f>H67-M67</f>
        <v/>
      </c>
    </row>
    <row r="68" customFormat="1" s="2">
      <c r="A68" s="194" t="n"/>
      <c r="B68" s="195" t="inlineStr">
        <is>
          <t xml:space="preserve">Витражный блок Вн-6 (4200х4820 мм) </t>
        </is>
      </c>
      <c r="C68" s="196" t="inlineStr">
        <is>
          <t>м2</t>
        </is>
      </c>
      <c r="D68" s="268" t="n"/>
      <c r="E68" s="95" t="n"/>
      <c r="F68" s="95" t="n"/>
      <c r="G68" s="95" t="n">
        <v>19734.44</v>
      </c>
      <c r="H68" s="32" t="n"/>
      <c r="I68" s="110" t="n"/>
      <c r="J68" s="239" t="n"/>
      <c r="K68" s="239" t="n"/>
      <c r="L68" s="269" t="n"/>
      <c r="M68" s="269" t="n"/>
      <c r="N68" s="236" t="n"/>
      <c r="O68" s="270" t="n"/>
    </row>
    <row r="69" ht="90" customFormat="1" customHeight="1" s="2">
      <c r="A69" s="197">
        <f>A67+1</f>
        <v/>
      </c>
      <c r="B69" s="198" t="inlineStr">
        <is>
          <t>Изготовление и монтаж витража Вн-15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69" s="199" t="inlineStr">
        <is>
          <t>м2</t>
        </is>
      </c>
      <c r="D69" s="216" t="n">
        <v>6.75</v>
      </c>
      <c r="E69" s="208">
        <f>F69+G70</f>
        <v/>
      </c>
      <c r="F69" s="191" t="n">
        <v>2966</v>
      </c>
      <c r="G69" s="191" t="n"/>
      <c r="H69" s="200">
        <f>D69*E69</f>
        <v/>
      </c>
      <c r="I69" s="248">
        <f>ROUND(ROUND(D69,2)*0.7,2)</f>
        <v/>
      </c>
      <c r="J69" s="238">
        <f>I69*E69</f>
        <v/>
      </c>
      <c r="K69" s="238">
        <f>J69</f>
        <v/>
      </c>
      <c r="L69" s="266">
        <f>I69</f>
        <v/>
      </c>
      <c r="M69" s="266">
        <f>J69</f>
        <v/>
      </c>
      <c r="N69" s="235">
        <f>D69-L69</f>
        <v/>
      </c>
      <c r="O69" s="267">
        <f>H69-M69</f>
        <v/>
      </c>
    </row>
    <row r="70" customFormat="1" s="2">
      <c r="A70" s="3" t="n"/>
      <c r="B70" s="1" t="inlineStr">
        <is>
          <t xml:space="preserve">Витражный блок Вн-15 (1400х4820 мм) </t>
        </is>
      </c>
      <c r="C70" s="94" t="inlineStr">
        <is>
          <t>м2</t>
        </is>
      </c>
      <c r="D70" s="268" t="n"/>
      <c r="E70" s="189" t="n"/>
      <c r="F70" s="189" t="n"/>
      <c r="G70" s="189" t="n">
        <v>19734.44</v>
      </c>
      <c r="H70" s="190" t="n"/>
      <c r="I70" s="110" t="n"/>
      <c r="J70" s="239" t="n"/>
      <c r="K70" s="239" t="n"/>
      <c r="L70" s="269" t="n"/>
      <c r="M70" s="269" t="n"/>
      <c r="N70" s="236" t="n"/>
      <c r="O70" s="270" t="n"/>
    </row>
    <row r="71" ht="90" customFormat="1" customHeight="1" s="2">
      <c r="A71" s="197">
        <f>A69+1</f>
        <v/>
      </c>
      <c r="B71" s="198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1" s="199" t="inlineStr">
        <is>
          <t>м2</t>
        </is>
      </c>
      <c r="D71" s="216" t="n">
        <v>20.24</v>
      </c>
      <c r="E71" s="208">
        <f>F71+G72</f>
        <v/>
      </c>
      <c r="F71" s="191" t="n">
        <v>2966</v>
      </c>
      <c r="G71" s="191" t="n"/>
      <c r="H71" s="200">
        <f>D71*E71</f>
        <v/>
      </c>
      <c r="I71" s="111">
        <f>ROUND(ROUND(D71,2)*0.7,2)</f>
        <v/>
      </c>
      <c r="J71" s="238">
        <f>I71*E71</f>
        <v/>
      </c>
      <c r="K71" s="238">
        <f>J71</f>
        <v/>
      </c>
      <c r="L71" s="266">
        <f>I71</f>
        <v/>
      </c>
      <c r="M71" s="266">
        <f>J71</f>
        <v/>
      </c>
      <c r="N71" s="235">
        <f>D71-L71</f>
        <v/>
      </c>
      <c r="O71" s="267">
        <f>H71-M71</f>
        <v/>
      </c>
    </row>
    <row r="72" customFormat="1" s="2">
      <c r="A72" s="3" t="n"/>
      <c r="B72" s="1" t="inlineStr">
        <is>
          <t xml:space="preserve">Витражный блок Вн-17 (4200х4820 мм) </t>
        </is>
      </c>
      <c r="C72" s="94" t="inlineStr">
        <is>
          <t>м2</t>
        </is>
      </c>
      <c r="D72" s="268" t="n"/>
      <c r="E72" s="189" t="n"/>
      <c r="F72" s="189" t="n"/>
      <c r="G72" s="189" t="n">
        <v>19734.44</v>
      </c>
      <c r="H72" s="190" t="n"/>
      <c r="I72" s="110" t="n"/>
      <c r="J72" s="239" t="n"/>
      <c r="K72" s="239" t="n"/>
      <c r="L72" s="269" t="n"/>
      <c r="M72" s="269" t="n"/>
      <c r="N72" s="236" t="n"/>
      <c r="O72" s="270" t="n"/>
    </row>
    <row r="73" ht="90" customFormat="1" customHeight="1" s="2">
      <c r="A73" s="197">
        <f>A71+1</f>
        <v/>
      </c>
      <c r="B73" s="198" t="inlineStr">
        <is>
          <t>Изготовление и монтаж витража Вн-18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3" s="199" t="inlineStr">
        <is>
          <t>м2</t>
        </is>
      </c>
      <c r="D73" s="216" t="n">
        <v>12.53</v>
      </c>
      <c r="E73" s="208">
        <f>F73+G74</f>
        <v/>
      </c>
      <c r="F73" s="191" t="n">
        <v>2966</v>
      </c>
      <c r="G73" s="191" t="n"/>
      <c r="H73" s="200">
        <f>D73*E73</f>
        <v/>
      </c>
      <c r="I73" s="111">
        <f>ROUND(ROUND(D73,2)*0.7,2)</f>
        <v/>
      </c>
      <c r="J73" s="238">
        <f>I73*E73</f>
        <v/>
      </c>
      <c r="K73" s="238">
        <f>J73</f>
        <v/>
      </c>
      <c r="L73" s="266">
        <f>I73</f>
        <v/>
      </c>
      <c r="M73" s="266">
        <f>J73</f>
        <v/>
      </c>
      <c r="N73" s="235">
        <f>D73-L73</f>
        <v/>
      </c>
      <c r="O73" s="267">
        <f>H73-M73</f>
        <v/>
      </c>
    </row>
    <row r="74" customFormat="1" s="2">
      <c r="A74" s="3" t="n"/>
      <c r="B74" s="1" t="inlineStr">
        <is>
          <t xml:space="preserve">Витражный блок Вн-18 (2600х4820 мм) </t>
        </is>
      </c>
      <c r="C74" s="94" t="inlineStr">
        <is>
          <t>м2</t>
        </is>
      </c>
      <c r="D74" s="268" t="n"/>
      <c r="E74" s="189" t="n"/>
      <c r="F74" s="189" t="n"/>
      <c r="G74" s="189" t="n">
        <v>19734.44</v>
      </c>
      <c r="H74" s="190" t="n"/>
      <c r="I74" s="110" t="n"/>
      <c r="J74" s="239" t="n"/>
      <c r="K74" s="239" t="n"/>
      <c r="L74" s="269" t="n"/>
      <c r="M74" s="269" t="n"/>
      <c r="N74" s="236" t="n"/>
      <c r="O74" s="270" t="n"/>
    </row>
    <row r="75" ht="90" customFormat="1" customHeight="1" s="2">
      <c r="A75" s="197">
        <f>A73+1</f>
        <v/>
      </c>
      <c r="B75" s="198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5" s="199" t="inlineStr">
        <is>
          <t>м2</t>
        </is>
      </c>
      <c r="D75" s="216" t="n">
        <v>29.24</v>
      </c>
      <c r="E75" s="208">
        <f>F75+G76</f>
        <v/>
      </c>
      <c r="F75" s="191" t="n">
        <v>2966</v>
      </c>
      <c r="G75" s="191" t="n"/>
      <c r="H75" s="200">
        <f>D75*E75</f>
        <v/>
      </c>
      <c r="I75" s="248">
        <f>ROUND(ROUND(D75,2)*0.7,2)</f>
        <v/>
      </c>
      <c r="J75" s="238">
        <f>I75*E75</f>
        <v/>
      </c>
      <c r="K75" s="238">
        <f>J75</f>
        <v/>
      </c>
      <c r="L75" s="266">
        <f>I75</f>
        <v/>
      </c>
      <c r="M75" s="266">
        <f>J75</f>
        <v/>
      </c>
      <c r="N75" s="235">
        <f>D75-L75</f>
        <v/>
      </c>
      <c r="O75" s="267">
        <f>H75-M75</f>
        <v/>
      </c>
    </row>
    <row r="76" customFormat="1" s="2">
      <c r="A76" s="3" t="n"/>
      <c r="B76" s="1" t="inlineStr">
        <is>
          <t xml:space="preserve">Витражный блок Вн-22 (2150х2720 мм) </t>
        </is>
      </c>
      <c r="C76" s="94" t="inlineStr">
        <is>
          <t>м2</t>
        </is>
      </c>
      <c r="D76" s="268" t="n"/>
      <c r="E76" s="189" t="n"/>
      <c r="F76" s="189" t="n"/>
      <c r="G76" s="189" t="n">
        <v>19734.44</v>
      </c>
      <c r="H76" s="190" t="n"/>
      <c r="I76" s="110" t="n"/>
      <c r="J76" s="239" t="n"/>
      <c r="K76" s="239" t="n"/>
      <c r="L76" s="269" t="n"/>
      <c r="M76" s="269" t="n"/>
      <c r="N76" s="236" t="n"/>
      <c r="O76" s="270" t="n"/>
    </row>
    <row r="77" ht="90" customFormat="1" customHeight="1" s="2">
      <c r="A77" s="197">
        <f>A75+1</f>
        <v/>
      </c>
      <c r="B77" s="198" t="inlineStr">
        <is>
          <t>Изготовление и монтаж витража Вн-23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7" s="199" t="inlineStr">
        <is>
          <t>м2</t>
        </is>
      </c>
      <c r="D77" s="216" t="n">
        <v>10.69</v>
      </c>
      <c r="E77" s="208">
        <f>F77+G78</f>
        <v/>
      </c>
      <c r="F77" s="191" t="n">
        <v>2966</v>
      </c>
      <c r="G77" s="191" t="n"/>
      <c r="H77" s="200">
        <f>D77*E77</f>
        <v/>
      </c>
      <c r="I77" s="111">
        <f>ROUND(ROUND(D77,2)*0.7,2)</f>
        <v/>
      </c>
      <c r="J77" s="238">
        <f>I77*E77</f>
        <v/>
      </c>
      <c r="K77" s="238">
        <f>J77</f>
        <v/>
      </c>
      <c r="L77" s="266">
        <f>I77</f>
        <v/>
      </c>
      <c r="M77" s="266">
        <f>J77</f>
        <v/>
      </c>
      <c r="N77" s="235">
        <f>D77-L77</f>
        <v/>
      </c>
      <c r="O77" s="267">
        <f>H77-M77</f>
        <v/>
      </c>
    </row>
    <row r="78" customFormat="1" s="2">
      <c r="A78" s="3" t="n"/>
      <c r="B78" s="1" t="inlineStr">
        <is>
          <t xml:space="preserve">Витражный блок Вн-23 (3540х3020 мм) </t>
        </is>
      </c>
      <c r="C78" s="94" t="inlineStr">
        <is>
          <t>м2</t>
        </is>
      </c>
      <c r="D78" s="268" t="n"/>
      <c r="E78" s="189" t="n"/>
      <c r="F78" s="189" t="n"/>
      <c r="G78" s="189" t="n">
        <v>19734.44</v>
      </c>
      <c r="H78" s="190" t="n"/>
      <c r="I78" s="110" t="n"/>
      <c r="J78" s="239" t="n"/>
      <c r="K78" s="239" t="n"/>
      <c r="L78" s="269" t="n"/>
      <c r="M78" s="269" t="n"/>
      <c r="N78" s="236" t="n"/>
      <c r="O78" s="270" t="n"/>
    </row>
    <row r="79" ht="90" customFormat="1" customHeight="1" s="2">
      <c r="A79" s="197">
        <f>A77+1</f>
        <v/>
      </c>
      <c r="B79" s="198" t="inlineStr">
        <is>
          <t>Изготовление и монтаж витража Вн-24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9" s="199" t="inlineStr">
        <is>
          <t>м2</t>
        </is>
      </c>
      <c r="D79" s="216" t="n">
        <v>7.88</v>
      </c>
      <c r="E79" s="208">
        <f>F79+G80</f>
        <v/>
      </c>
      <c r="F79" s="191" t="n">
        <v>2966</v>
      </c>
      <c r="G79" s="191" t="n"/>
      <c r="H79" s="200">
        <f>D79*E79</f>
        <v/>
      </c>
      <c r="I79" s="111">
        <f>ROUND(ROUND(D79,2)*0.7,2)</f>
        <v/>
      </c>
      <c r="J79" s="238">
        <f>I79*E79</f>
        <v/>
      </c>
      <c r="K79" s="238">
        <f>J79</f>
        <v/>
      </c>
      <c r="L79" s="266">
        <f>I79</f>
        <v/>
      </c>
      <c r="M79" s="266">
        <f>J79</f>
        <v/>
      </c>
      <c r="N79" s="235">
        <f>D79-L79</f>
        <v/>
      </c>
      <c r="O79" s="267">
        <f>H79-M79</f>
        <v/>
      </c>
    </row>
    <row r="80" customFormat="1" s="2">
      <c r="A80" s="3" t="n"/>
      <c r="B80" s="1" t="inlineStr">
        <is>
          <t xml:space="preserve">Витражный блок Вн-24 (2610х3020 мм) </t>
        </is>
      </c>
      <c r="C80" s="94" t="inlineStr">
        <is>
          <t>м2</t>
        </is>
      </c>
      <c r="D80" s="268" t="n"/>
      <c r="E80" s="189" t="n"/>
      <c r="F80" s="189" t="n"/>
      <c r="G80" s="189" t="n">
        <v>19734.44</v>
      </c>
      <c r="H80" s="190" t="n"/>
      <c r="I80" s="110" t="n"/>
      <c r="J80" s="239" t="n"/>
      <c r="K80" s="239" t="n"/>
      <c r="L80" s="269" t="n"/>
      <c r="M80" s="269" t="n"/>
      <c r="N80" s="236" t="n"/>
      <c r="O80" s="270" t="n"/>
    </row>
    <row r="81" ht="15.75" customFormat="1" customHeight="1" s="2">
      <c r="A81" s="165" t="n"/>
      <c r="B81" s="161" t="inlineStr">
        <is>
          <t xml:space="preserve">Двери наружные входные </t>
        </is>
      </c>
      <c r="C81" s="161" t="n"/>
      <c r="D81" s="161" t="n"/>
      <c r="E81" s="161" t="n"/>
      <c r="F81" s="161" t="n"/>
      <c r="G81" s="161" t="n"/>
      <c r="H81" s="161" t="n"/>
      <c r="I81" s="166" t="n"/>
      <c r="J81" s="241" t="n"/>
      <c r="K81" s="241" t="n"/>
      <c r="L81" s="161" t="n"/>
      <c r="M81" s="112" t="n"/>
      <c r="N81" s="112" t="n"/>
      <c r="O81" s="162" t="n"/>
    </row>
    <row r="82" ht="57" customFormat="1" customHeight="1" s="2">
      <c r="A82" s="171" t="n">
        <v>1</v>
      </c>
      <c r="B82" s="172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82" s="173" t="inlineStr">
        <is>
          <t>м2</t>
        </is>
      </c>
      <c r="D82" s="216" t="n">
        <v>18.8</v>
      </c>
      <c r="E82" s="208">
        <f>F82+G83</f>
        <v/>
      </c>
      <c r="F82" s="192" t="n">
        <v>2966</v>
      </c>
      <c r="G82" s="192" t="n"/>
      <c r="H82" s="193">
        <f>D82*E82</f>
        <v/>
      </c>
      <c r="I82" s="111">
        <f>ROUND(ROUND(D82,2)*0.7,2)</f>
        <v/>
      </c>
      <c r="J82" s="238">
        <f>I82*E82</f>
        <v/>
      </c>
      <c r="K82" s="238">
        <f>J82</f>
        <v/>
      </c>
      <c r="L82" s="266">
        <f>I82</f>
        <v/>
      </c>
      <c r="M82" s="266">
        <f>J82</f>
        <v/>
      </c>
      <c r="N82" s="235">
        <f>D82-L82</f>
        <v/>
      </c>
      <c r="O82" s="267">
        <f>H82-M82</f>
        <v/>
      </c>
    </row>
    <row r="83" customFormat="1" s="2">
      <c r="A83" s="194" t="n"/>
      <c r="B83" s="195" t="inlineStr">
        <is>
          <t xml:space="preserve">Дверной блок наружный  ДНМО 2410х1300 П </t>
        </is>
      </c>
      <c r="C83" s="196" t="inlineStr">
        <is>
          <t>м2</t>
        </is>
      </c>
      <c r="D83" s="268" t="n"/>
      <c r="E83" s="95" t="n"/>
      <c r="F83" s="95" t="n"/>
      <c r="G83" s="95" t="n">
        <v>19734.44</v>
      </c>
      <c r="H83" s="32" t="n"/>
      <c r="I83" s="110" t="n"/>
      <c r="J83" s="239" t="n"/>
      <c r="K83" s="239" t="n"/>
      <c r="L83" s="269" t="n"/>
      <c r="M83" s="269" t="n"/>
      <c r="N83" s="236" t="n"/>
      <c r="O83" s="270" t="n"/>
    </row>
    <row r="84" ht="57" customFormat="1" customHeight="1" s="2">
      <c r="A84" s="197">
        <f>A82+1</f>
        <v/>
      </c>
      <c r="B84" s="198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4" s="199" t="inlineStr">
        <is>
          <t>м2</t>
        </is>
      </c>
      <c r="D84" s="216" t="n">
        <v>2.1</v>
      </c>
      <c r="E84" s="208">
        <f>F84+G85</f>
        <v/>
      </c>
      <c r="F84" s="191" t="n">
        <v>2966</v>
      </c>
      <c r="G84" s="191" t="n"/>
      <c r="H84" s="200">
        <f>D84*E84</f>
        <v/>
      </c>
      <c r="I84" s="111">
        <f>ROUND(ROUND(D84,2)*0.7,2)</f>
        <v/>
      </c>
      <c r="J84" s="238">
        <f>I84*E84</f>
        <v/>
      </c>
      <c r="K84" s="238">
        <f>J84</f>
        <v/>
      </c>
      <c r="L84" s="266">
        <f>I84</f>
        <v/>
      </c>
      <c r="M84" s="266">
        <f>J84</f>
        <v/>
      </c>
      <c r="N84" s="240">
        <f>D84-L84</f>
        <v/>
      </c>
      <c r="O84" s="267">
        <f>H84-M84</f>
        <v/>
      </c>
    </row>
    <row r="85" customFormat="1" s="2">
      <c r="A85" s="3" t="n"/>
      <c r="B85" s="1" t="inlineStr">
        <is>
          <t xml:space="preserve">Дверной блок наружный ДМН 2100х1000 П </t>
        </is>
      </c>
      <c r="C85" s="94" t="inlineStr">
        <is>
          <t>м2</t>
        </is>
      </c>
      <c r="D85" s="268" t="n"/>
      <c r="E85" s="189" t="n"/>
      <c r="F85" s="189" t="n"/>
      <c r="G85" s="189" t="n">
        <v>19734.44</v>
      </c>
      <c r="H85" s="190" t="n"/>
      <c r="I85" s="110" t="n"/>
      <c r="J85" s="239" t="n"/>
      <c r="K85" s="239" t="n"/>
      <c r="L85" s="269" t="n"/>
      <c r="M85" s="269" t="n"/>
      <c r="N85" s="236" t="n"/>
      <c r="O85" s="270" t="n"/>
    </row>
    <row r="86" ht="57" customFormat="1" customHeight="1" s="2">
      <c r="A86" s="197">
        <f>A84+1</f>
        <v/>
      </c>
      <c r="B86" s="198" t="inlineStr">
        <is>
          <t xml:space="preserve">Изготовление и монтаж дверных блоков входных однопольных Д21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6" s="199" t="inlineStr">
        <is>
          <t>м2</t>
        </is>
      </c>
      <c r="D86" s="216" t="n">
        <v>2.52</v>
      </c>
      <c r="E86" s="208">
        <f>F86+G87</f>
        <v/>
      </c>
      <c r="F86" s="191" t="n">
        <v>2966</v>
      </c>
      <c r="G86" s="191" t="n"/>
      <c r="H86" s="200">
        <f>D86*E86</f>
        <v/>
      </c>
      <c r="I86" s="111">
        <f>ROUND(ROUND(D86,2)*0.7,2)</f>
        <v/>
      </c>
      <c r="J86" s="238">
        <f>I86*E86</f>
        <v/>
      </c>
      <c r="K86" s="238">
        <f>J86</f>
        <v/>
      </c>
      <c r="L86" s="266">
        <f>I86</f>
        <v/>
      </c>
      <c r="M86" s="266">
        <f>J86</f>
        <v/>
      </c>
      <c r="N86" s="235">
        <f>D86-L86</f>
        <v/>
      </c>
      <c r="O86" s="267">
        <f>H86-M86</f>
        <v/>
      </c>
    </row>
    <row r="87" customFormat="1" s="2">
      <c r="A87" s="3" t="n"/>
      <c r="B87" s="1" t="inlineStr">
        <is>
          <t xml:space="preserve">Дверной блок наружный ДНМО 2100х1200 П </t>
        </is>
      </c>
      <c r="C87" s="94" t="inlineStr">
        <is>
          <t>м2</t>
        </is>
      </c>
      <c r="D87" s="268" t="n"/>
      <c r="E87" s="189" t="n"/>
      <c r="F87" s="189" t="n"/>
      <c r="G87" s="189" t="n">
        <v>19734.44</v>
      </c>
      <c r="H87" s="190" t="n"/>
      <c r="I87" s="110" t="n"/>
      <c r="J87" s="239" t="n"/>
      <c r="K87" s="239" t="n"/>
      <c r="L87" s="269" t="n"/>
      <c r="M87" s="269" t="n"/>
      <c r="N87" s="236" t="n"/>
      <c r="O87" s="270" t="n"/>
    </row>
    <row r="88" ht="57" customFormat="1" customHeight="1" s="2">
      <c r="A88" s="197">
        <f>A86+1</f>
        <v/>
      </c>
      <c r="B88" s="198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8" s="199" t="inlineStr">
        <is>
          <t>м2</t>
        </is>
      </c>
      <c r="D88" s="216" t="n">
        <v>2.73</v>
      </c>
      <c r="E88" s="208">
        <f>F88+G89</f>
        <v/>
      </c>
      <c r="F88" s="191" t="n">
        <v>2966</v>
      </c>
      <c r="G88" s="191" t="n"/>
      <c r="H88" s="200">
        <f>D88*E88</f>
        <v/>
      </c>
      <c r="I88" s="111">
        <f>ROUND(ROUND(D88,2)*0.7,2)</f>
        <v/>
      </c>
      <c r="J88" s="238">
        <f>I88*E88</f>
        <v/>
      </c>
      <c r="K88" s="238">
        <f>J88</f>
        <v/>
      </c>
      <c r="L88" s="266">
        <f>I88</f>
        <v/>
      </c>
      <c r="M88" s="266">
        <f>J88</f>
        <v/>
      </c>
      <c r="N88" s="235">
        <f>D88-L88</f>
        <v/>
      </c>
      <c r="O88" s="267">
        <f>H88-M88</f>
        <v/>
      </c>
    </row>
    <row r="89" customFormat="1" s="2">
      <c r="A89" s="3" t="n"/>
      <c r="B89" s="1" t="inlineStr">
        <is>
          <t xml:space="preserve">Дверной блок наружный  ДМНО 2100х1300 П </t>
        </is>
      </c>
      <c r="C89" s="94" t="inlineStr">
        <is>
          <t>м2</t>
        </is>
      </c>
      <c r="D89" s="268" t="n"/>
      <c r="E89" s="189" t="n"/>
      <c r="F89" s="189" t="n"/>
      <c r="G89" s="189" t="n">
        <v>19734.44</v>
      </c>
      <c r="H89" s="190" t="n"/>
      <c r="I89" s="110" t="n"/>
      <c r="J89" s="239" t="n"/>
      <c r="K89" s="239" t="n"/>
      <c r="L89" s="269" t="n"/>
      <c r="M89" s="269" t="n"/>
      <c r="N89" s="236" t="n"/>
      <c r="O89" s="270" t="n"/>
    </row>
    <row r="90" ht="15.75" customFormat="1" customHeight="1" s="2">
      <c r="A90" s="37" t="n"/>
      <c r="B90" s="35" t="inlineStr">
        <is>
          <t>Блок-секция В</t>
        </is>
      </c>
      <c r="C90" s="35" t="n"/>
      <c r="D90" s="35" t="n"/>
      <c r="E90" s="35" t="n"/>
      <c r="F90" s="35" t="n"/>
      <c r="G90" s="35" t="n"/>
      <c r="H90" s="35" t="n"/>
      <c r="I90" s="38" t="n"/>
      <c r="J90" s="242" t="n"/>
      <c r="K90" s="242" t="n"/>
      <c r="L90" s="35" t="n"/>
      <c r="M90" s="33" t="n"/>
      <c r="N90" s="33" t="n"/>
      <c r="O90" s="34" t="n"/>
    </row>
    <row r="91" ht="15.75" customFormat="1" customHeight="1" s="2">
      <c r="A91" s="165" t="n"/>
      <c r="B91" s="161" t="inlineStr">
        <is>
          <t xml:space="preserve">Витражные блоки </t>
        </is>
      </c>
      <c r="C91" s="161" t="n"/>
      <c r="D91" s="161" t="n"/>
      <c r="E91" s="161" t="n"/>
      <c r="F91" s="161" t="n"/>
      <c r="G91" s="161" t="n"/>
      <c r="H91" s="161" t="n"/>
      <c r="I91" s="166" t="n"/>
      <c r="J91" s="241" t="n"/>
      <c r="K91" s="241" t="n"/>
      <c r="L91" s="161" t="n"/>
      <c r="M91" s="112" t="n"/>
      <c r="N91" s="112" t="n"/>
      <c r="O91" s="162" t="n"/>
    </row>
    <row r="92" ht="90" customFormat="1" customHeight="1" s="2">
      <c r="A92" s="171" t="n">
        <v>1</v>
      </c>
      <c r="B92" s="172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2" s="173" t="inlineStr">
        <is>
          <t>м2</t>
        </is>
      </c>
      <c r="D92" s="216" t="n">
        <v>20.24</v>
      </c>
      <c r="E92" s="208">
        <f>F92+G93</f>
        <v/>
      </c>
      <c r="F92" s="192" t="n">
        <v>2966</v>
      </c>
      <c r="G92" s="192" t="n"/>
      <c r="H92" s="193">
        <f>D92*E92</f>
        <v/>
      </c>
      <c r="I92" s="111">
        <f>ROUND(ROUND(D92,2)*0.7,2)</f>
        <v/>
      </c>
      <c r="J92" s="238">
        <f>I92*E92</f>
        <v/>
      </c>
      <c r="K92" s="238">
        <f>J92</f>
        <v/>
      </c>
      <c r="L92" s="266">
        <f>I92</f>
        <v/>
      </c>
      <c r="M92" s="266">
        <f>J92</f>
        <v/>
      </c>
      <c r="N92" s="240">
        <f>D92-L92</f>
        <v/>
      </c>
      <c r="O92" s="267">
        <f>H92-M92</f>
        <v/>
      </c>
    </row>
    <row r="93" customFormat="1" s="2">
      <c r="A93" s="194" t="n"/>
      <c r="B93" s="195" t="inlineStr">
        <is>
          <t xml:space="preserve">Витражный блок Вн-6 (4200х4820 мм) </t>
        </is>
      </c>
      <c r="C93" s="196" t="inlineStr">
        <is>
          <t>м2</t>
        </is>
      </c>
      <c r="D93" s="268" t="n"/>
      <c r="E93" s="95" t="n"/>
      <c r="F93" s="95" t="n"/>
      <c r="G93" s="95" t="n">
        <v>19734.44</v>
      </c>
      <c r="H93" s="32" t="n"/>
      <c r="I93" s="110" t="n"/>
      <c r="J93" s="239" t="n"/>
      <c r="K93" s="239" t="n"/>
      <c r="L93" s="269" t="n"/>
      <c r="M93" s="269" t="n"/>
      <c r="N93" s="236" t="n"/>
      <c r="O93" s="270" t="n"/>
    </row>
    <row r="94" ht="90" customFormat="1" customHeight="1" s="2">
      <c r="A94" s="197">
        <f>A92+1</f>
        <v/>
      </c>
      <c r="B94" s="198" t="inlineStr">
        <is>
          <t>Изготовление и монтаж витража Вн-16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4" s="199" t="inlineStr">
        <is>
          <t>м2</t>
        </is>
      </c>
      <c r="D94" s="216" t="n">
        <v>5.78</v>
      </c>
      <c r="E94" s="208">
        <f>F94+G95</f>
        <v/>
      </c>
      <c r="F94" s="191" t="n">
        <v>2966</v>
      </c>
      <c r="G94" s="191" t="n"/>
      <c r="H94" s="200">
        <f>D94*E94</f>
        <v/>
      </c>
      <c r="I94" s="111">
        <f>ROUND(ROUND(D94,2)*0.7,2)</f>
        <v/>
      </c>
      <c r="J94" s="238">
        <f>I94*E94</f>
        <v/>
      </c>
      <c r="K94" s="238">
        <f>J94</f>
        <v/>
      </c>
      <c r="L94" s="266">
        <f>I94</f>
        <v/>
      </c>
      <c r="M94" s="266">
        <f>J94</f>
        <v/>
      </c>
      <c r="N94" s="235">
        <f>D94-L94</f>
        <v/>
      </c>
      <c r="O94" s="267">
        <f>H94-M94</f>
        <v/>
      </c>
    </row>
    <row r="95" customFormat="1" s="2">
      <c r="A95" s="3" t="n"/>
      <c r="B95" s="1" t="inlineStr">
        <is>
          <t xml:space="preserve">Витражный блок Вн-16 (1200х4820 мм) </t>
        </is>
      </c>
      <c r="C95" s="94" t="inlineStr">
        <is>
          <t>м2</t>
        </is>
      </c>
      <c r="D95" s="268" t="n"/>
      <c r="E95" s="189" t="n"/>
      <c r="F95" s="189" t="n"/>
      <c r="G95" s="189" t="n">
        <v>19734.44</v>
      </c>
      <c r="H95" s="190" t="n"/>
      <c r="I95" s="110" t="n"/>
      <c r="J95" s="239" t="n"/>
      <c r="K95" s="239" t="n"/>
      <c r="L95" s="269" t="n"/>
      <c r="M95" s="269" t="n"/>
      <c r="N95" s="236" t="n"/>
      <c r="O95" s="270" t="n"/>
    </row>
    <row r="96" ht="90" customFormat="1" customHeight="1" s="2">
      <c r="A96" s="197">
        <f>A94+1</f>
        <v/>
      </c>
      <c r="B96" s="198" t="inlineStr">
        <is>
          <t>Изготовление и монтаж витража Вн-13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6" s="199" t="inlineStr">
        <is>
          <t>м2</t>
        </is>
      </c>
      <c r="D96" s="216" t="n">
        <v>15.42</v>
      </c>
      <c r="E96" s="208">
        <f>F96+G97</f>
        <v/>
      </c>
      <c r="F96" s="191" t="n">
        <v>2966</v>
      </c>
      <c r="G96" s="191" t="n"/>
      <c r="H96" s="200">
        <f>D96*E96</f>
        <v/>
      </c>
      <c r="I96" s="111">
        <f>ROUND(ROUND(D96,2)*0.7,2)</f>
        <v/>
      </c>
      <c r="J96" s="238">
        <f>I96*E96</f>
        <v/>
      </c>
      <c r="K96" s="238">
        <f>J96</f>
        <v/>
      </c>
      <c r="L96" s="266">
        <f>I96</f>
        <v/>
      </c>
      <c r="M96" s="266">
        <f>J96</f>
        <v/>
      </c>
      <c r="N96" s="240">
        <f>D96-L96</f>
        <v/>
      </c>
      <c r="O96" s="267">
        <f>H96-M96</f>
        <v/>
      </c>
    </row>
    <row r="97" customFormat="1" s="2">
      <c r="A97" s="3" t="n"/>
      <c r="B97" s="1" t="inlineStr">
        <is>
          <t xml:space="preserve">Витражный блок Вн-13 (3200х4820 мм) </t>
        </is>
      </c>
      <c r="C97" s="94" t="inlineStr">
        <is>
          <t>м2</t>
        </is>
      </c>
      <c r="D97" s="268" t="n"/>
      <c r="E97" s="189" t="n"/>
      <c r="F97" s="189" t="n"/>
      <c r="G97" s="189" t="n">
        <v>19734.44</v>
      </c>
      <c r="H97" s="190" t="n"/>
      <c r="I97" s="110" t="n"/>
      <c r="J97" s="239" t="n"/>
      <c r="K97" s="239" t="n"/>
      <c r="L97" s="269" t="n"/>
      <c r="M97" s="269" t="n"/>
      <c r="N97" s="236" t="n"/>
      <c r="O97" s="270" t="n"/>
    </row>
    <row r="98" ht="90" customFormat="1" customHeight="1" s="2">
      <c r="A98" s="197">
        <f>A96+1</f>
        <v/>
      </c>
      <c r="B98" s="198" t="inlineStr">
        <is>
          <t>Изготовление и монтаж витража Вн-19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8" s="199" t="inlineStr">
        <is>
          <t>м2</t>
        </is>
      </c>
      <c r="D98" s="216" t="n">
        <v>28.92</v>
      </c>
      <c r="E98" s="208">
        <f>F98+G99</f>
        <v/>
      </c>
      <c r="F98" s="191" t="n">
        <v>2966</v>
      </c>
      <c r="G98" s="191" t="n"/>
      <c r="H98" s="200">
        <f>D98*E98</f>
        <v/>
      </c>
      <c r="I98" s="111">
        <f>ROUND(ROUND(D98,2)*0.7,2)</f>
        <v/>
      </c>
      <c r="J98" s="238">
        <f>I98*E98</f>
        <v/>
      </c>
      <c r="K98" s="238">
        <f>J98</f>
        <v/>
      </c>
      <c r="L98" s="266">
        <f>I98</f>
        <v/>
      </c>
      <c r="M98" s="266">
        <f>J98</f>
        <v/>
      </c>
      <c r="N98" s="235">
        <f>D98-L98</f>
        <v/>
      </c>
      <c r="O98" s="267">
        <f>H98-M98</f>
        <v/>
      </c>
    </row>
    <row r="99" customFormat="1" s="2">
      <c r="A99" s="3" t="n"/>
      <c r="B99" s="1" t="inlineStr">
        <is>
          <t xml:space="preserve">Витражный блок Вн-19 (3000х4820 мм) </t>
        </is>
      </c>
      <c r="C99" s="94" t="inlineStr">
        <is>
          <t>м2</t>
        </is>
      </c>
      <c r="D99" s="268" t="n"/>
      <c r="E99" s="189" t="n"/>
      <c r="F99" s="189" t="n"/>
      <c r="G99" s="189" t="n">
        <v>19734.44</v>
      </c>
      <c r="H99" s="190" t="n"/>
      <c r="I99" s="110" t="n"/>
      <c r="J99" s="239" t="n"/>
      <c r="K99" s="239" t="n"/>
      <c r="L99" s="269" t="n"/>
      <c r="M99" s="269" t="n"/>
      <c r="N99" s="236" t="n"/>
      <c r="O99" s="270" t="n"/>
    </row>
    <row r="100" ht="90" customFormat="1" customHeight="1" s="2">
      <c r="A100" s="197">
        <f>A98+1</f>
        <v/>
      </c>
      <c r="B100" s="198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00" s="199" t="inlineStr">
        <is>
          <t>м2</t>
        </is>
      </c>
      <c r="D100" s="216" t="n">
        <v>23.39</v>
      </c>
      <c r="E100" s="208">
        <f>F100+G101</f>
        <v/>
      </c>
      <c r="F100" s="191" t="n">
        <v>2966</v>
      </c>
      <c r="G100" s="191" t="n"/>
      <c r="H100" s="200">
        <f>D100*E100</f>
        <v/>
      </c>
      <c r="I100" s="248">
        <f>ROUND(ROUND(D100,2)*0.7,2)</f>
        <v/>
      </c>
      <c r="J100" s="238">
        <f>I100*E100</f>
        <v/>
      </c>
      <c r="K100" s="238">
        <f>J100</f>
        <v/>
      </c>
      <c r="L100" s="266">
        <f>I100</f>
        <v/>
      </c>
      <c r="M100" s="266">
        <f>J100</f>
        <v/>
      </c>
      <c r="N100" s="235">
        <f>D100-L100</f>
        <v/>
      </c>
      <c r="O100" s="267">
        <f>H100-M100</f>
        <v/>
      </c>
    </row>
    <row r="101" customFormat="1" s="2">
      <c r="A101" s="3" t="n"/>
      <c r="B101" s="1" t="inlineStr">
        <is>
          <t xml:space="preserve">Витражный блок Вн-22 (2150х2720 мм) </t>
        </is>
      </c>
      <c r="C101" s="94" t="inlineStr">
        <is>
          <t>м2</t>
        </is>
      </c>
      <c r="D101" s="268" t="n"/>
      <c r="E101" s="189" t="n"/>
      <c r="F101" s="189" t="n"/>
      <c r="G101" s="189" t="n">
        <v>19734.44</v>
      </c>
      <c r="H101" s="190" t="n"/>
      <c r="I101" s="110" t="n"/>
      <c r="J101" s="239" t="n"/>
      <c r="K101" s="239" t="n"/>
      <c r="L101" s="269" t="n"/>
      <c r="M101" s="269" t="n"/>
      <c r="N101" s="236" t="n"/>
      <c r="O101" s="270" t="n"/>
    </row>
    <row r="102" ht="15.75" customFormat="1" customHeight="1" s="2">
      <c r="A102" s="165" t="n"/>
      <c r="B102" s="161" t="inlineStr">
        <is>
          <t xml:space="preserve">Двери наружные входные </t>
        </is>
      </c>
      <c r="C102" s="161" t="n"/>
      <c r="D102" s="161" t="n"/>
      <c r="E102" s="161" t="n"/>
      <c r="F102" s="161" t="n"/>
      <c r="G102" s="161" t="n"/>
      <c r="H102" s="161" t="n"/>
      <c r="I102" s="166" t="n"/>
      <c r="J102" s="241" t="n"/>
      <c r="K102" s="241" t="n"/>
      <c r="L102" s="161" t="n"/>
      <c r="M102" s="112" t="n"/>
      <c r="N102" s="112" t="n"/>
      <c r="O102" s="162" t="n"/>
    </row>
    <row r="103" ht="57" customFormat="1" customHeight="1" s="2">
      <c r="A103" s="171" t="n">
        <v>1</v>
      </c>
      <c r="B103" s="172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03" s="173" t="inlineStr">
        <is>
          <t>м2</t>
        </is>
      </c>
      <c r="D103" s="216" t="n">
        <v>9.4</v>
      </c>
      <c r="E103" s="208">
        <f>F103+G104</f>
        <v/>
      </c>
      <c r="F103" s="192" t="n">
        <v>2966</v>
      </c>
      <c r="G103" s="192" t="n"/>
      <c r="H103" s="193">
        <f>D103*E103</f>
        <v/>
      </c>
      <c r="I103" s="111">
        <f>ROUND(ROUND(D103,2)*0.7,2)</f>
        <v/>
      </c>
      <c r="J103" s="238">
        <f>I103*E103</f>
        <v/>
      </c>
      <c r="K103" s="238">
        <f>J103</f>
        <v/>
      </c>
      <c r="L103" s="266">
        <f>I103</f>
        <v/>
      </c>
      <c r="M103" s="266">
        <f>J103</f>
        <v/>
      </c>
      <c r="N103" s="235">
        <f>D103-L103</f>
        <v/>
      </c>
      <c r="O103" s="267">
        <f>H103-M103</f>
        <v/>
      </c>
    </row>
    <row r="104" customFormat="1" s="2">
      <c r="A104" s="194" t="n"/>
      <c r="B104" s="195" t="inlineStr">
        <is>
          <t xml:space="preserve">Дверной блок наружный ДНМО 2410х1300 П </t>
        </is>
      </c>
      <c r="C104" s="196" t="inlineStr">
        <is>
          <t>м2</t>
        </is>
      </c>
      <c r="D104" s="268" t="n"/>
      <c r="E104" s="95" t="n"/>
      <c r="F104" s="95" t="n"/>
      <c r="G104" s="95" t="n">
        <v>19734.44</v>
      </c>
      <c r="H104" s="32" t="n"/>
      <c r="I104" s="110" t="n"/>
      <c r="J104" s="239" t="n"/>
      <c r="K104" s="239" t="n"/>
      <c r="L104" s="269" t="n"/>
      <c r="M104" s="269" t="n"/>
      <c r="N104" s="236" t="n"/>
      <c r="O104" s="270" t="n"/>
    </row>
    <row r="105" ht="57" customFormat="1" customHeight="1" s="2">
      <c r="A105" s="197">
        <f>A103+1</f>
        <v/>
      </c>
      <c r="B105" s="198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5" s="199" t="inlineStr">
        <is>
          <t>м2</t>
        </is>
      </c>
      <c r="D105" s="216" t="n">
        <v>2.1</v>
      </c>
      <c r="E105" s="208">
        <f>F105+G106</f>
        <v/>
      </c>
      <c r="F105" s="191" t="n">
        <v>2966</v>
      </c>
      <c r="G105" s="191" t="n"/>
      <c r="H105" s="200">
        <f>D105*E105</f>
        <v/>
      </c>
      <c r="I105" s="111">
        <f>ROUND(ROUND(D105,2)*0.7,2)</f>
        <v/>
      </c>
      <c r="J105" s="238">
        <f>I105*E105</f>
        <v/>
      </c>
      <c r="K105" s="238">
        <f>J105</f>
        <v/>
      </c>
      <c r="L105" s="266">
        <f>I105</f>
        <v/>
      </c>
      <c r="M105" s="266">
        <f>J105</f>
        <v/>
      </c>
      <c r="N105" s="240">
        <f>D105-L105</f>
        <v/>
      </c>
      <c r="O105" s="267">
        <f>H105-M105</f>
        <v/>
      </c>
    </row>
    <row r="106" customFormat="1" s="2">
      <c r="A106" s="3" t="n"/>
      <c r="B106" s="1" t="inlineStr">
        <is>
          <t xml:space="preserve">Дверной блок наружный ДМН 2100х1000 П </t>
        </is>
      </c>
      <c r="C106" s="94" t="inlineStr">
        <is>
          <t>м2</t>
        </is>
      </c>
      <c r="D106" s="268" t="n"/>
      <c r="E106" s="189" t="n"/>
      <c r="F106" s="189" t="n"/>
      <c r="G106" s="189" t="n">
        <v>19734.44</v>
      </c>
      <c r="H106" s="190" t="n"/>
      <c r="I106" s="110" t="n"/>
      <c r="J106" s="239" t="n"/>
      <c r="K106" s="239" t="n"/>
      <c r="L106" s="269" t="n"/>
      <c r="M106" s="269" t="n"/>
      <c r="N106" s="236" t="n"/>
      <c r="O106" s="270" t="n"/>
    </row>
    <row r="107" ht="57" customFormat="1" customHeight="1" s="2">
      <c r="A107" s="197">
        <f>A105+1</f>
        <v/>
      </c>
      <c r="B107" s="198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7" s="199" t="inlineStr">
        <is>
          <t>м2</t>
        </is>
      </c>
      <c r="D107" s="216" t="n">
        <v>3.13</v>
      </c>
      <c r="E107" s="208">
        <f>F107+G108</f>
        <v/>
      </c>
      <c r="F107" s="191" t="n">
        <v>2966</v>
      </c>
      <c r="G107" s="191" t="n"/>
      <c r="H107" s="200">
        <f>D107*E107</f>
        <v/>
      </c>
      <c r="I107" s="248">
        <f>ROUND(ROUND(D107,2)*0.7,2)</f>
        <v/>
      </c>
      <c r="J107" s="238">
        <f>I107*E107</f>
        <v/>
      </c>
      <c r="K107" s="238">
        <f>J107</f>
        <v/>
      </c>
      <c r="L107" s="266">
        <f>I107</f>
        <v/>
      </c>
      <c r="M107" s="266">
        <f>J107</f>
        <v/>
      </c>
      <c r="N107" s="235">
        <f>D107-L107</f>
        <v/>
      </c>
      <c r="O107" s="267">
        <f>H107-M107</f>
        <v/>
      </c>
    </row>
    <row r="108" customFormat="1" s="2">
      <c r="A108" s="3" t="n"/>
      <c r="B108" s="1" t="inlineStr">
        <is>
          <t xml:space="preserve">Дверной блок наружный  ДНМО 2410х1300 Л </t>
        </is>
      </c>
      <c r="C108" s="94" t="inlineStr">
        <is>
          <t>м2</t>
        </is>
      </c>
      <c r="D108" s="268" t="n"/>
      <c r="E108" s="189" t="n"/>
      <c r="F108" s="189" t="n"/>
      <c r="G108" s="189" t="n">
        <v>19734.44</v>
      </c>
      <c r="H108" s="190" t="n"/>
      <c r="I108" s="110" t="n"/>
      <c r="J108" s="239" t="n"/>
      <c r="K108" s="239" t="n"/>
      <c r="L108" s="269" t="n"/>
      <c r="M108" s="269" t="n"/>
      <c r="N108" s="236" t="n"/>
      <c r="O108" s="270" t="n"/>
    </row>
    <row r="109" ht="57" customFormat="1" customHeight="1" s="2">
      <c r="A109" s="197">
        <f>A107+1</f>
        <v/>
      </c>
      <c r="B109" s="198" t="inlineStr">
        <is>
          <t xml:space="preserve">Изготовление и монтаж дверных блоков входных однопольных Д36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9" s="199" t="inlineStr">
        <is>
          <t>м2</t>
        </is>
      </c>
      <c r="D109" s="216" t="n">
        <v>2.94</v>
      </c>
      <c r="E109" s="208">
        <f>F109+G110</f>
        <v/>
      </c>
      <c r="F109" s="191" t="n">
        <v>2966</v>
      </c>
      <c r="G109" s="191" t="n"/>
      <c r="H109" s="200">
        <f>D109*E109</f>
        <v/>
      </c>
      <c r="I109" s="111">
        <f>ROUND(ROUND(D109,2)*0.7,2)</f>
        <v/>
      </c>
      <c r="J109" s="238">
        <f>I109*E109</f>
        <v/>
      </c>
      <c r="K109" s="238">
        <f>J109</f>
        <v/>
      </c>
      <c r="L109" s="266">
        <f>I109</f>
        <v/>
      </c>
      <c r="M109" s="266">
        <f>J109</f>
        <v/>
      </c>
      <c r="N109" s="235">
        <f>D109-L109</f>
        <v/>
      </c>
      <c r="O109" s="267">
        <f>H109-M109</f>
        <v/>
      </c>
    </row>
    <row r="110" customFormat="1" s="2">
      <c r="A110" s="3" t="n"/>
      <c r="B110" s="1" t="inlineStr">
        <is>
          <t xml:space="preserve">Дверной блок наружный  ДМНО 2100х1400 Л </t>
        </is>
      </c>
      <c r="C110" s="94" t="inlineStr">
        <is>
          <t>м2</t>
        </is>
      </c>
      <c r="D110" s="268" t="n"/>
      <c r="E110" s="189" t="n"/>
      <c r="F110" s="189" t="n"/>
      <c r="G110" s="189" t="n">
        <v>19734.44</v>
      </c>
      <c r="H110" s="190" t="n"/>
      <c r="I110" s="110" t="n"/>
      <c r="J110" s="239" t="n"/>
      <c r="K110" s="239" t="n"/>
      <c r="L110" s="269" t="n"/>
      <c r="M110" s="269" t="n"/>
      <c r="N110" s="236" t="n"/>
      <c r="O110" s="270" t="n"/>
    </row>
    <row r="111" ht="57" customFormat="1" customHeight="1" s="2">
      <c r="A111" s="197">
        <f>A109+1</f>
        <v/>
      </c>
      <c r="B111" s="198" t="inlineStr">
        <is>
          <t xml:space="preserve">Изготовление и монтаж дверных блоков входных двупольных Д37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11" s="199" t="inlineStr">
        <is>
          <t>м2</t>
        </is>
      </c>
      <c r="D111" s="216" t="n">
        <v>2.94</v>
      </c>
      <c r="E111" s="208">
        <f>F111+G112</f>
        <v/>
      </c>
      <c r="F111" s="191" t="n">
        <v>2966</v>
      </c>
      <c r="G111" s="191" t="n"/>
      <c r="H111" s="200">
        <f>D111*E111</f>
        <v/>
      </c>
      <c r="I111" s="111">
        <f>ROUND(ROUND(D111,2)*0.7,2)</f>
        <v/>
      </c>
      <c r="J111" s="238">
        <f>I111*E111</f>
        <v/>
      </c>
      <c r="K111" s="238">
        <f>J111</f>
        <v/>
      </c>
      <c r="L111" s="266">
        <f>I111</f>
        <v/>
      </c>
      <c r="M111" s="266">
        <f>J111</f>
        <v/>
      </c>
      <c r="N111" s="235">
        <f>D111-L111</f>
        <v/>
      </c>
      <c r="O111" s="267">
        <f>H111-M111</f>
        <v/>
      </c>
    </row>
    <row r="112" customFormat="1" s="2">
      <c r="A112" s="3" t="n"/>
      <c r="B112" s="1" t="inlineStr">
        <is>
          <t xml:space="preserve">Дверной блок наружный  ДМНО 2100х1400 Л </t>
        </is>
      </c>
      <c r="C112" s="94" t="inlineStr">
        <is>
          <t>м2</t>
        </is>
      </c>
      <c r="D112" s="268" t="n"/>
      <c r="E112" s="189" t="n"/>
      <c r="F112" s="189" t="n"/>
      <c r="G112" s="189" t="n">
        <v>19734.44</v>
      </c>
      <c r="H112" s="190" t="n"/>
      <c r="I112" s="110" t="n"/>
      <c r="J112" s="239" t="n"/>
      <c r="K112" s="239" t="n"/>
      <c r="L112" s="269" t="n"/>
      <c r="M112" s="269" t="n"/>
      <c r="N112" s="236" t="n"/>
      <c r="O112" s="270" t="n"/>
    </row>
    <row r="113" ht="15.75" customFormat="1" customHeight="1" s="2">
      <c r="A113" s="37" t="n"/>
      <c r="B113" s="35" t="inlineStr">
        <is>
          <t>Блок-секция Г</t>
        </is>
      </c>
      <c r="C113" s="35" t="n"/>
      <c r="D113" s="35" t="n"/>
      <c r="E113" s="35" t="n"/>
      <c r="F113" s="35" t="n"/>
      <c r="G113" s="35" t="n"/>
      <c r="H113" s="35" t="n"/>
      <c r="I113" s="38" t="n"/>
      <c r="J113" s="242" t="n"/>
      <c r="K113" s="242" t="n"/>
      <c r="L113" s="35" t="n"/>
      <c r="M113" s="33" t="n"/>
      <c r="N113" s="33" t="n"/>
      <c r="O113" s="34" t="n"/>
    </row>
    <row r="114" ht="15.75" customFormat="1" customHeight="1" s="2">
      <c r="A114" s="165" t="n"/>
      <c r="B114" s="161" t="inlineStr">
        <is>
          <t xml:space="preserve">Витражные блоки </t>
        </is>
      </c>
      <c r="C114" s="161" t="n"/>
      <c r="D114" s="161" t="n"/>
      <c r="E114" s="161" t="n"/>
      <c r="F114" s="161" t="n"/>
      <c r="G114" s="161" t="n"/>
      <c r="H114" s="161" t="n"/>
      <c r="I114" s="166" t="n"/>
      <c r="J114" s="241" t="n"/>
      <c r="K114" s="241" t="n"/>
      <c r="L114" s="161" t="n"/>
      <c r="M114" s="112" t="n"/>
      <c r="N114" s="112" t="n"/>
      <c r="O114" s="162" t="n"/>
    </row>
    <row r="115" ht="90" customFormat="1" customHeight="1" s="2">
      <c r="A115" s="171" t="n">
        <v>1</v>
      </c>
      <c r="B115" s="172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5" s="173" t="inlineStr">
        <is>
          <t>м2</t>
        </is>
      </c>
      <c r="D115" s="216" t="n">
        <v>20.24</v>
      </c>
      <c r="E115" s="208">
        <f>F115+G116</f>
        <v/>
      </c>
      <c r="F115" s="192" t="n">
        <v>2966</v>
      </c>
      <c r="G115" s="192" t="n"/>
      <c r="H115" s="193">
        <f>D115*E115</f>
        <v/>
      </c>
      <c r="I115" s="111">
        <f>ROUND(ROUND(D115,2)*0.7,2)</f>
        <v/>
      </c>
      <c r="J115" s="238">
        <f>I115*E115</f>
        <v/>
      </c>
      <c r="K115" s="238">
        <f>J115</f>
        <v/>
      </c>
      <c r="L115" s="266">
        <f>I115</f>
        <v/>
      </c>
      <c r="M115" s="266">
        <f>J115</f>
        <v/>
      </c>
      <c r="N115" s="235">
        <f>D115-L115</f>
        <v/>
      </c>
      <c r="O115" s="267">
        <f>H115-M115</f>
        <v/>
      </c>
    </row>
    <row r="116" customFormat="1" s="2">
      <c r="A116" s="194" t="n"/>
      <c r="B116" s="195" t="inlineStr">
        <is>
          <t xml:space="preserve">Витражный блок Вн-6 (4200х4820 мм) </t>
        </is>
      </c>
      <c r="C116" s="196" t="inlineStr">
        <is>
          <t>м2</t>
        </is>
      </c>
      <c r="D116" s="268" t="n"/>
      <c r="E116" s="95" t="n"/>
      <c r="F116" s="95" t="n"/>
      <c r="G116" s="95" t="n">
        <v>19734.44</v>
      </c>
      <c r="H116" s="32" t="n"/>
      <c r="I116" s="110" t="n"/>
      <c r="J116" s="239" t="n"/>
      <c r="K116" s="239" t="n"/>
      <c r="L116" s="269" t="n"/>
      <c r="M116" s="269" t="n"/>
      <c r="N116" s="236" t="n"/>
      <c r="O116" s="270" t="n"/>
    </row>
    <row r="117" ht="90" customFormat="1" customHeight="1" s="2">
      <c r="A117" s="197">
        <f>A115+1</f>
        <v/>
      </c>
      <c r="B117" s="198" t="inlineStr">
        <is>
          <t>Изготовление и монтаж витража Вн-10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7" s="199" t="inlineStr">
        <is>
          <t>м2</t>
        </is>
      </c>
      <c r="D117" s="216" t="n">
        <v>20.05</v>
      </c>
      <c r="E117" s="208">
        <f>F117+G118</f>
        <v/>
      </c>
      <c r="F117" s="191" t="n">
        <v>2966</v>
      </c>
      <c r="G117" s="191" t="n"/>
      <c r="H117" s="200">
        <f>D117*E117</f>
        <v/>
      </c>
      <c r="I117" s="111">
        <f>ROUND(ROUND(D117,2)*0.7,2)</f>
        <v/>
      </c>
      <c r="J117" s="238">
        <f>I117*E117</f>
        <v/>
      </c>
      <c r="K117" s="238">
        <f>J117</f>
        <v/>
      </c>
      <c r="L117" s="266">
        <f>I117</f>
        <v/>
      </c>
      <c r="M117" s="266">
        <f>J117</f>
        <v/>
      </c>
      <c r="N117" s="235">
        <f>D117-L117</f>
        <v/>
      </c>
      <c r="O117" s="267">
        <f>H117-M117</f>
        <v/>
      </c>
    </row>
    <row r="118" customFormat="1" s="2">
      <c r="A118" s="3" t="n"/>
      <c r="B118" s="1" t="inlineStr">
        <is>
          <t xml:space="preserve">Витражный блок Вн-10 (4160х4820 мм) </t>
        </is>
      </c>
      <c r="C118" s="94" t="inlineStr">
        <is>
          <t>м2</t>
        </is>
      </c>
      <c r="D118" s="268" t="n"/>
      <c r="E118" s="189" t="n"/>
      <c r="F118" s="189" t="n"/>
      <c r="G118" s="189" t="n">
        <v>19734.44</v>
      </c>
      <c r="H118" s="190" t="n"/>
      <c r="I118" s="110" t="n"/>
      <c r="J118" s="239" t="n"/>
      <c r="K118" s="239" t="n"/>
      <c r="L118" s="269" t="n"/>
      <c r="M118" s="269" t="n"/>
      <c r="N118" s="236" t="n"/>
      <c r="O118" s="270" t="n"/>
    </row>
    <row r="119" ht="90" customFormat="1" customHeight="1" s="2">
      <c r="A119" s="197">
        <f>A117+1</f>
        <v/>
      </c>
      <c r="B119" s="198" t="inlineStr">
        <is>
          <t>Изготовление и монтаж витража Вн-11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9" s="199" t="inlineStr">
        <is>
          <t>м2</t>
        </is>
      </c>
      <c r="D119" s="216" t="n">
        <v>11.81</v>
      </c>
      <c r="E119" s="208">
        <f>F119+G120</f>
        <v/>
      </c>
      <c r="F119" s="191" t="n">
        <v>2966</v>
      </c>
      <c r="G119" s="191" t="n"/>
      <c r="H119" s="200">
        <f>D119*E119</f>
        <v/>
      </c>
      <c r="I119" s="111">
        <f>ROUND(ROUND(D119,2)*0.7,2)</f>
        <v/>
      </c>
      <c r="J119" s="238">
        <f>I119*E119</f>
        <v/>
      </c>
      <c r="K119" s="238">
        <f>J119</f>
        <v/>
      </c>
      <c r="L119" s="266">
        <f>I119</f>
        <v/>
      </c>
      <c r="M119" s="266">
        <f>J119</f>
        <v/>
      </c>
      <c r="N119" s="235">
        <f>D119-L119</f>
        <v/>
      </c>
      <c r="O119" s="267">
        <f>H119-M119</f>
        <v/>
      </c>
    </row>
    <row r="120" customFormat="1" s="2">
      <c r="A120" s="3" t="n"/>
      <c r="B120" s="1" t="inlineStr">
        <is>
          <t xml:space="preserve">Витражный блок Вн-11 (2450х4820 мм) </t>
        </is>
      </c>
      <c r="C120" s="94" t="inlineStr">
        <is>
          <t>м2</t>
        </is>
      </c>
      <c r="D120" s="268" t="n"/>
      <c r="E120" s="189" t="n"/>
      <c r="F120" s="189" t="n"/>
      <c r="G120" s="189" t="n">
        <v>19734.44</v>
      </c>
      <c r="H120" s="190" t="n"/>
      <c r="I120" s="110" t="n"/>
      <c r="J120" s="239" t="n"/>
      <c r="K120" s="239" t="n"/>
      <c r="L120" s="269" t="n"/>
      <c r="M120" s="269" t="n"/>
      <c r="N120" s="236" t="n"/>
      <c r="O120" s="270" t="n"/>
    </row>
    <row r="121" ht="90" customFormat="1" customHeight="1" s="2">
      <c r="A121" s="197">
        <f>A119+1</f>
        <v/>
      </c>
      <c r="B121" s="198" t="inlineStr">
        <is>
          <t>Изготовление и монтаж витража Вн-12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1" s="199" t="inlineStr">
        <is>
          <t>м2</t>
        </is>
      </c>
      <c r="D121" s="216" t="n">
        <v>16.24</v>
      </c>
      <c r="E121" s="208">
        <f>F121+G122</f>
        <v/>
      </c>
      <c r="F121" s="191" t="n">
        <v>2966</v>
      </c>
      <c r="G121" s="191" t="n"/>
      <c r="H121" s="200">
        <f>D121*E121</f>
        <v/>
      </c>
      <c r="I121" s="111">
        <f>ROUND(ROUND(D121,2)*0.7,2)</f>
        <v/>
      </c>
      <c r="J121" s="238">
        <f>I121*E121</f>
        <v/>
      </c>
      <c r="K121" s="238">
        <f>J121</f>
        <v/>
      </c>
      <c r="L121" s="266">
        <f>I121</f>
        <v/>
      </c>
      <c r="M121" s="266">
        <f>J121</f>
        <v/>
      </c>
      <c r="N121" s="235">
        <f>D121-L121</f>
        <v/>
      </c>
      <c r="O121" s="267">
        <f>H121-M121</f>
        <v/>
      </c>
    </row>
    <row r="122" customFormat="1" s="2">
      <c r="A122" s="3" t="n"/>
      <c r="B122" s="1" t="inlineStr">
        <is>
          <t xml:space="preserve">Витражный блок Вн-12 (3370х4820 мм) </t>
        </is>
      </c>
      <c r="C122" s="94" t="inlineStr">
        <is>
          <t>м2</t>
        </is>
      </c>
      <c r="D122" s="268" t="n"/>
      <c r="E122" s="189" t="n"/>
      <c r="F122" s="189" t="n"/>
      <c r="G122" s="189" t="n">
        <v>19734.44</v>
      </c>
      <c r="H122" s="190" t="n"/>
      <c r="I122" s="110" t="n"/>
      <c r="J122" s="239" t="n"/>
      <c r="K122" s="239" t="n"/>
      <c r="L122" s="269" t="n"/>
      <c r="M122" s="269" t="n"/>
      <c r="N122" s="236" t="n"/>
      <c r="O122" s="270" t="n"/>
    </row>
    <row r="123" ht="90" customFormat="1" customHeight="1" s="2">
      <c r="A123" s="197">
        <f>A121+1</f>
        <v/>
      </c>
      <c r="B123" s="198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3" s="199" t="inlineStr">
        <is>
          <t>м2</t>
        </is>
      </c>
      <c r="D123" s="216" t="n">
        <v>20.24</v>
      </c>
      <c r="E123" s="208">
        <f>F123+G124</f>
        <v/>
      </c>
      <c r="F123" s="191" t="n">
        <v>2966</v>
      </c>
      <c r="G123" s="191" t="n"/>
      <c r="H123" s="200">
        <f>D123*E123</f>
        <v/>
      </c>
      <c r="I123" s="111">
        <f>ROUND(ROUND(D123,2)*0.7,2)</f>
        <v/>
      </c>
      <c r="J123" s="238">
        <f>I123*E123</f>
        <v/>
      </c>
      <c r="K123" s="238">
        <f>J123</f>
        <v/>
      </c>
      <c r="L123" s="266">
        <f>I123</f>
        <v/>
      </c>
      <c r="M123" s="266">
        <f>J123</f>
        <v/>
      </c>
      <c r="N123" s="235">
        <f>D123-L123</f>
        <v/>
      </c>
      <c r="O123" s="267">
        <f>H123-M123</f>
        <v/>
      </c>
    </row>
    <row r="124" customFormat="1" s="2">
      <c r="A124" s="3" t="n"/>
      <c r="B124" s="1" t="inlineStr">
        <is>
          <t xml:space="preserve">Витражный блок Вн-17 (4200х4820 мм) </t>
        </is>
      </c>
      <c r="C124" s="94" t="inlineStr">
        <is>
          <t>м2</t>
        </is>
      </c>
      <c r="D124" s="268" t="n"/>
      <c r="E124" s="189" t="n"/>
      <c r="F124" s="189" t="n"/>
      <c r="G124" s="189" t="n">
        <v>19734.44</v>
      </c>
      <c r="H124" s="190" t="n"/>
      <c r="I124" s="110" t="n"/>
      <c r="J124" s="239" t="n"/>
      <c r="K124" s="239" t="n"/>
      <c r="L124" s="269" t="n"/>
      <c r="M124" s="269" t="n"/>
      <c r="N124" s="236" t="n"/>
      <c r="O124" s="270" t="n"/>
    </row>
    <row r="125" ht="90" customFormat="1" customHeight="1" s="2">
      <c r="A125" s="197">
        <f>A123+1</f>
        <v/>
      </c>
      <c r="B125" s="198" t="inlineStr">
        <is>
          <t>Изготовление и монтаж витража Вн-20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5" s="199" t="inlineStr">
        <is>
          <t>м2</t>
        </is>
      </c>
      <c r="D125" s="216" t="n">
        <v>18.8</v>
      </c>
      <c r="E125" s="208">
        <f>F125+G126</f>
        <v/>
      </c>
      <c r="F125" s="191" t="n">
        <v>2966</v>
      </c>
      <c r="G125" s="191" t="n"/>
      <c r="H125" s="200">
        <f>D125*E125</f>
        <v/>
      </c>
      <c r="I125" s="111">
        <f>ROUND(ROUND(D125,2)*0.7,2)</f>
        <v/>
      </c>
      <c r="J125" s="238">
        <f>I125*E125</f>
        <v/>
      </c>
      <c r="K125" s="238">
        <f>J125</f>
        <v/>
      </c>
      <c r="L125" s="266">
        <f>I125</f>
        <v/>
      </c>
      <c r="M125" s="266">
        <f>J125</f>
        <v/>
      </c>
      <c r="N125" s="235">
        <f>D125-L125</f>
        <v/>
      </c>
      <c r="O125" s="267">
        <f>H125-M125</f>
        <v/>
      </c>
    </row>
    <row r="126" customFormat="1" s="2">
      <c r="A126" s="3" t="n"/>
      <c r="B126" s="1" t="inlineStr">
        <is>
          <t xml:space="preserve">Витражный блок Вн-20 (3900х4820 мм) </t>
        </is>
      </c>
      <c r="C126" s="94" t="inlineStr">
        <is>
          <t>м2</t>
        </is>
      </c>
      <c r="D126" s="268" t="n"/>
      <c r="E126" s="189" t="n"/>
      <c r="F126" s="189" t="n"/>
      <c r="G126" s="189" t="n">
        <v>19734.44</v>
      </c>
      <c r="H126" s="190" t="n"/>
      <c r="I126" s="110" t="n"/>
      <c r="J126" s="239" t="n"/>
      <c r="K126" s="239" t="n"/>
      <c r="L126" s="269" t="n"/>
      <c r="M126" s="269" t="n"/>
      <c r="N126" s="236" t="n"/>
      <c r="O126" s="270" t="n"/>
    </row>
    <row r="127" ht="90" customFormat="1" customHeight="1" s="2">
      <c r="A127" s="197">
        <f>A125+1</f>
        <v/>
      </c>
      <c r="B127" s="198" t="inlineStr">
        <is>
          <t>Изготовление и монтаж витража Вн-21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7" s="199" t="inlineStr">
        <is>
          <t>м2</t>
        </is>
      </c>
      <c r="D127" s="216" t="n">
        <v>14.07</v>
      </c>
      <c r="E127" s="208">
        <f>F127+G128</f>
        <v/>
      </c>
      <c r="F127" s="191" t="n">
        <v>2966</v>
      </c>
      <c r="G127" s="191" t="n"/>
      <c r="H127" s="200">
        <f>D127*E127</f>
        <v/>
      </c>
      <c r="I127" s="111">
        <f>ROUND(ROUND(D127,2)*0.7,2)</f>
        <v/>
      </c>
      <c r="J127" s="238">
        <f>I127*E127</f>
        <v/>
      </c>
      <c r="K127" s="238">
        <f>J127</f>
        <v/>
      </c>
      <c r="L127" s="266">
        <f>I127</f>
        <v/>
      </c>
      <c r="M127" s="266">
        <f>J127</f>
        <v/>
      </c>
      <c r="N127" s="235">
        <f>D127-L127</f>
        <v/>
      </c>
      <c r="O127" s="267">
        <f>H127-M127</f>
        <v/>
      </c>
    </row>
    <row r="128" customFormat="1" s="2">
      <c r="A128" s="3" t="n"/>
      <c r="B128" s="1" t="inlineStr">
        <is>
          <t xml:space="preserve">Витражный блок Вн-21 (2920х4820 мм) </t>
        </is>
      </c>
      <c r="C128" s="94" t="inlineStr">
        <is>
          <t>м2</t>
        </is>
      </c>
      <c r="D128" s="268" t="n"/>
      <c r="E128" s="189" t="n"/>
      <c r="F128" s="189" t="n"/>
      <c r="G128" s="189" t="n">
        <v>19734.44</v>
      </c>
      <c r="H128" s="190" t="n"/>
      <c r="I128" s="110" t="n"/>
      <c r="J128" s="239" t="n"/>
      <c r="K128" s="239" t="n"/>
      <c r="L128" s="269" t="n"/>
      <c r="M128" s="269" t="n"/>
      <c r="N128" s="236" t="n"/>
      <c r="O128" s="270" t="n"/>
    </row>
    <row r="129" ht="90" customFormat="1" customHeight="1" s="2">
      <c r="A129" s="197">
        <f>A127+1</f>
        <v/>
      </c>
      <c r="B129" s="198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9" s="199" t="inlineStr">
        <is>
          <t>м2</t>
        </is>
      </c>
      <c r="D129" s="216" t="n">
        <v>23.39</v>
      </c>
      <c r="E129" s="208">
        <f>F129+G130</f>
        <v/>
      </c>
      <c r="F129" s="191" t="n">
        <v>2966</v>
      </c>
      <c r="G129" s="191" t="n"/>
      <c r="H129" s="200">
        <f>D129*E129</f>
        <v/>
      </c>
      <c r="I129" s="111">
        <f>ROUND(ROUND(D129,2)*0.7,2)</f>
        <v/>
      </c>
      <c r="J129" s="238">
        <f>I129*E129</f>
        <v/>
      </c>
      <c r="K129" s="238">
        <f>J129</f>
        <v/>
      </c>
      <c r="L129" s="266">
        <f>I129</f>
        <v/>
      </c>
      <c r="M129" s="266">
        <f>J129</f>
        <v/>
      </c>
      <c r="N129" s="235">
        <f>D129-L129</f>
        <v/>
      </c>
      <c r="O129" s="267">
        <f>H129-M129</f>
        <v/>
      </c>
    </row>
    <row r="130" customFormat="1" s="2">
      <c r="A130" s="3" t="n"/>
      <c r="B130" s="1" t="inlineStr">
        <is>
          <t xml:space="preserve">Витражный блок Вн-22 (2150х2720 мм) </t>
        </is>
      </c>
      <c r="C130" s="94" t="inlineStr">
        <is>
          <t>м2</t>
        </is>
      </c>
      <c r="D130" s="268" t="n"/>
      <c r="E130" s="189" t="n"/>
      <c r="F130" s="189" t="n"/>
      <c r="G130" s="189" t="n">
        <v>19734.44</v>
      </c>
      <c r="H130" s="190" t="n"/>
      <c r="I130" s="110" t="n"/>
      <c r="J130" s="239" t="n"/>
      <c r="K130" s="239" t="n"/>
      <c r="L130" s="269" t="n"/>
      <c r="M130" s="269" t="n"/>
      <c r="N130" s="236" t="n"/>
      <c r="O130" s="270" t="n"/>
    </row>
    <row r="131" ht="15.75" customFormat="1" customHeight="1" s="2">
      <c r="A131" s="165" t="n"/>
      <c r="B131" s="161" t="inlineStr">
        <is>
          <t xml:space="preserve">Двери наружные входные </t>
        </is>
      </c>
      <c r="C131" s="161" t="n"/>
      <c r="D131" s="161" t="n"/>
      <c r="E131" s="161" t="n"/>
      <c r="F131" s="161" t="n"/>
      <c r="G131" s="161" t="n"/>
      <c r="H131" s="161" t="n"/>
      <c r="I131" s="166" t="n"/>
      <c r="J131" s="241" t="n"/>
      <c r="K131" s="241" t="n"/>
      <c r="L131" s="161" t="n"/>
      <c r="M131" s="112" t="n"/>
      <c r="N131" s="112" t="n"/>
      <c r="O131" s="162" t="n"/>
    </row>
    <row r="132" ht="57" customFormat="1" customHeight="1" s="2">
      <c r="A132" s="171" t="n">
        <v>1</v>
      </c>
      <c r="B132" s="172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32" s="173" t="inlineStr">
        <is>
          <t>м2</t>
        </is>
      </c>
      <c r="D132" s="216" t="n">
        <v>9.4</v>
      </c>
      <c r="E132" s="208">
        <f>F132+G133</f>
        <v/>
      </c>
      <c r="F132" s="192" t="n">
        <v>2966</v>
      </c>
      <c r="G132" s="192" t="n"/>
      <c r="H132" s="193">
        <f>D132*E132</f>
        <v/>
      </c>
      <c r="I132" s="111">
        <f>ROUND(ROUND(D132,2)*0.7,2)</f>
        <v/>
      </c>
      <c r="J132" s="238">
        <f>I132*E132</f>
        <v/>
      </c>
      <c r="K132" s="238">
        <f>J132</f>
        <v/>
      </c>
      <c r="L132" s="266">
        <f>I132</f>
        <v/>
      </c>
      <c r="M132" s="266">
        <f>J132</f>
        <v/>
      </c>
      <c r="N132" s="235">
        <f>D132-L132</f>
        <v/>
      </c>
      <c r="O132" s="267">
        <f>H132-M132</f>
        <v/>
      </c>
    </row>
    <row r="133" customFormat="1" s="2">
      <c r="A133" s="194" t="n"/>
      <c r="B133" s="195" t="inlineStr">
        <is>
          <t xml:space="preserve">Дверной блок наружный  ДНМО 2410х1300 П </t>
        </is>
      </c>
      <c r="C133" s="196" t="inlineStr">
        <is>
          <t>м2</t>
        </is>
      </c>
      <c r="D133" s="268" t="n"/>
      <c r="E133" s="95" t="n"/>
      <c r="F133" s="95" t="n"/>
      <c r="G133" s="95" t="n">
        <v>19734.44</v>
      </c>
      <c r="H133" s="32" t="n"/>
      <c r="I133" s="110" t="n"/>
      <c r="J133" s="239" t="n"/>
      <c r="K133" s="239" t="n"/>
      <c r="L133" s="269" t="n"/>
      <c r="M133" s="269" t="n"/>
      <c r="N133" s="236" t="n"/>
      <c r="O133" s="270" t="n"/>
    </row>
    <row r="134" ht="57" customFormat="1" customHeight="1" s="2">
      <c r="A134" s="197">
        <f>A132+1</f>
        <v/>
      </c>
      <c r="B134" s="198" t="inlineStr">
        <is>
          <t xml:space="preserve">Изготовление и монтаж дверных блоков входных однопольныхД18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4" s="199" t="inlineStr">
        <is>
          <t>м2</t>
        </is>
      </c>
      <c r="D134" s="216" t="n">
        <v>2.1</v>
      </c>
      <c r="E134" s="208">
        <f>F134+G135</f>
        <v/>
      </c>
      <c r="F134" s="191" t="n">
        <v>2966</v>
      </c>
      <c r="G134" s="191" t="n"/>
      <c r="H134" s="200">
        <f>D134*E134</f>
        <v/>
      </c>
      <c r="I134" s="111">
        <f>ROUND(ROUND(D134,2)*0.7,2)</f>
        <v/>
      </c>
      <c r="J134" s="238">
        <f>I134*E134</f>
        <v/>
      </c>
      <c r="K134" s="238">
        <f>J134</f>
        <v/>
      </c>
      <c r="L134" s="266">
        <f>I134</f>
        <v/>
      </c>
      <c r="M134" s="266">
        <f>J134</f>
        <v/>
      </c>
      <c r="N134" s="235">
        <f>D134-L134</f>
        <v/>
      </c>
      <c r="O134" s="267">
        <f>H134-M134</f>
        <v/>
      </c>
    </row>
    <row r="135" customFormat="1" s="2">
      <c r="A135" s="3" t="n"/>
      <c r="B135" s="1" t="inlineStr">
        <is>
          <t xml:space="preserve">Дверной блок наружный ДМН 2100х1000 П </t>
        </is>
      </c>
      <c r="C135" s="94" t="inlineStr">
        <is>
          <t>м2</t>
        </is>
      </c>
      <c r="D135" s="268" t="n"/>
      <c r="E135" s="189" t="n"/>
      <c r="F135" s="189" t="n"/>
      <c r="G135" s="189" t="n">
        <v>19734.44</v>
      </c>
      <c r="H135" s="190" t="n"/>
      <c r="I135" s="110" t="n"/>
      <c r="J135" s="239" t="n"/>
      <c r="K135" s="239" t="n"/>
      <c r="L135" s="269" t="n"/>
      <c r="M135" s="269" t="n"/>
      <c r="N135" s="236" t="n"/>
      <c r="O135" s="270" t="n"/>
    </row>
    <row r="136" ht="57" customFormat="1" customHeight="1" s="2">
      <c r="A136" s="197">
        <f>A134+1</f>
        <v/>
      </c>
      <c r="B136" s="198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6" s="199" t="inlineStr">
        <is>
          <t>м2</t>
        </is>
      </c>
      <c r="D136" s="216" t="n">
        <v>2.73</v>
      </c>
      <c r="E136" s="208">
        <f>F136+G137</f>
        <v/>
      </c>
      <c r="F136" s="191" t="n">
        <v>2966</v>
      </c>
      <c r="G136" s="191" t="n"/>
      <c r="H136" s="200">
        <f>D136*E136</f>
        <v/>
      </c>
      <c r="I136" s="111">
        <f>ROUND(ROUND(D136,2)*0.7,2)</f>
        <v/>
      </c>
      <c r="J136" s="238">
        <f>I136*E136</f>
        <v/>
      </c>
      <c r="K136" s="238">
        <f>J136</f>
        <v/>
      </c>
      <c r="L136" s="266">
        <f>I136</f>
        <v/>
      </c>
      <c r="M136" s="266">
        <f>J136</f>
        <v/>
      </c>
      <c r="N136" s="235">
        <f>D136-L136</f>
        <v/>
      </c>
      <c r="O136" s="267">
        <f>H136-M136</f>
        <v/>
      </c>
    </row>
    <row r="137" customFormat="1" s="2">
      <c r="A137" s="3" t="n"/>
      <c r="B137" s="1" t="inlineStr">
        <is>
          <t xml:space="preserve">Дверной блок наружный  ДМНО 2100х1300 П </t>
        </is>
      </c>
      <c r="C137" s="94" t="inlineStr">
        <is>
          <t>м2</t>
        </is>
      </c>
      <c r="D137" s="268" t="n"/>
      <c r="E137" s="189" t="n"/>
      <c r="F137" s="189" t="n"/>
      <c r="G137" s="189" t="n">
        <v>19734.44</v>
      </c>
      <c r="H137" s="190" t="n"/>
      <c r="I137" s="110" t="n"/>
      <c r="J137" s="239" t="n"/>
      <c r="K137" s="239" t="n"/>
      <c r="L137" s="269" t="n"/>
      <c r="M137" s="269" t="n"/>
      <c r="N137" s="236" t="n"/>
      <c r="O137" s="270" t="n"/>
    </row>
    <row r="138" ht="57" customFormat="1" customHeight="1" s="2">
      <c r="A138" s="197">
        <f>A136+1</f>
        <v/>
      </c>
      <c r="B138" s="198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8" s="199" t="inlineStr">
        <is>
          <t>м2</t>
        </is>
      </c>
      <c r="D138" s="216" t="n">
        <v>9.4</v>
      </c>
      <c r="E138" s="208">
        <f>F138+G139</f>
        <v/>
      </c>
      <c r="F138" s="191" t="n">
        <v>2966</v>
      </c>
      <c r="G138" s="191" t="n"/>
      <c r="H138" s="200">
        <f>D138*E138</f>
        <v/>
      </c>
      <c r="I138" s="111">
        <f>ROUND(ROUND(D138,2)*0.7,2)</f>
        <v/>
      </c>
      <c r="J138" s="238">
        <f>I138*E138</f>
        <v/>
      </c>
      <c r="K138" s="238">
        <f>J138</f>
        <v/>
      </c>
      <c r="L138" s="266">
        <f>I138</f>
        <v/>
      </c>
      <c r="M138" s="266">
        <f>J138</f>
        <v/>
      </c>
      <c r="N138" s="235">
        <f>D138-L138</f>
        <v/>
      </c>
      <c r="O138" s="267">
        <f>H138-M138</f>
        <v/>
      </c>
    </row>
    <row r="139" customFormat="1" s="2">
      <c r="A139" s="3" t="n"/>
      <c r="B139" s="1" t="inlineStr">
        <is>
          <t xml:space="preserve">Дверной блок наружный  ДНМО 2410х1300 Л </t>
        </is>
      </c>
      <c r="C139" s="94" t="inlineStr">
        <is>
          <t>м2</t>
        </is>
      </c>
      <c r="D139" s="268" t="n"/>
      <c r="E139" s="189" t="n"/>
      <c r="F139" s="189" t="n"/>
      <c r="G139" s="189" t="n">
        <v>19734.44</v>
      </c>
      <c r="H139" s="190" t="n"/>
      <c r="I139" s="110" t="n"/>
      <c r="J139" s="239" t="n"/>
      <c r="K139" s="239" t="n"/>
      <c r="L139" s="269" t="n"/>
      <c r="M139" s="269" t="n"/>
      <c r="N139" s="236" t="n"/>
      <c r="O139" s="270" t="n"/>
    </row>
    <row r="140" ht="57" customFormat="1" customHeight="1" s="2">
      <c r="A140" s="197">
        <f>A138+1</f>
        <v/>
      </c>
      <c r="B140" s="198" t="inlineStr">
        <is>
          <t xml:space="preserve">Изготовление и монтаж дверных блоков входных однопольных Д37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40" s="199" t="inlineStr">
        <is>
          <t>м2</t>
        </is>
      </c>
      <c r="D140" s="216" t="n">
        <v>2.94</v>
      </c>
      <c r="E140" s="208">
        <f>F140+G141</f>
        <v/>
      </c>
      <c r="F140" s="191" t="n">
        <v>2966</v>
      </c>
      <c r="G140" s="191" t="n"/>
      <c r="H140" s="200">
        <f>D140*E140</f>
        <v/>
      </c>
      <c r="I140" s="111">
        <f>ROUND(ROUND(D140,2)*0.7,2)</f>
        <v/>
      </c>
      <c r="J140" s="238">
        <f>I140*E140</f>
        <v/>
      </c>
      <c r="K140" s="238">
        <f>J140</f>
        <v/>
      </c>
      <c r="L140" s="266">
        <f>I140</f>
        <v/>
      </c>
      <c r="M140" s="266">
        <f>J140</f>
        <v/>
      </c>
      <c r="N140" s="235">
        <f>D140-L140</f>
        <v/>
      </c>
      <c r="O140" s="267">
        <f>H140-M140</f>
        <v/>
      </c>
    </row>
    <row r="141" customFormat="1" s="2">
      <c r="A141" s="3" t="n"/>
      <c r="B141" s="1" t="inlineStr">
        <is>
          <t xml:space="preserve">Дверной блок наружный  ДМНО 2100х1400 Л </t>
        </is>
      </c>
      <c r="C141" s="94" t="inlineStr">
        <is>
          <t>м2</t>
        </is>
      </c>
      <c r="D141" s="268" t="n"/>
      <c r="E141" s="189" t="n"/>
      <c r="F141" s="189" t="n"/>
      <c r="G141" s="189" t="n">
        <v>19734.44</v>
      </c>
      <c r="H141" s="190" t="n"/>
      <c r="I141" s="110" t="n"/>
      <c r="J141" s="239" t="n"/>
      <c r="K141" s="239" t="n"/>
      <c r="L141" s="269" t="n"/>
      <c r="M141" s="269" t="n"/>
      <c r="N141" s="236" t="n"/>
      <c r="O141" s="270" t="n"/>
    </row>
    <row r="142" ht="15.75" customFormat="1" customHeight="1" s="2">
      <c r="A142" s="37" t="n"/>
      <c r="B142" s="35" t="inlineStr">
        <is>
          <t>Блок-секция Д</t>
        </is>
      </c>
      <c r="C142" s="35" t="n"/>
      <c r="D142" s="35" t="n"/>
      <c r="E142" s="35" t="n"/>
      <c r="F142" s="35" t="n"/>
      <c r="G142" s="35" t="n"/>
      <c r="H142" s="35" t="n"/>
      <c r="I142" s="38" t="n"/>
      <c r="J142" s="242" t="n"/>
      <c r="K142" s="242" t="n"/>
      <c r="L142" s="35" t="n"/>
      <c r="M142" s="33" t="n"/>
      <c r="N142" s="33" t="n"/>
      <c r="O142" s="34" t="n"/>
    </row>
    <row r="143" ht="15.75" customFormat="1" customHeight="1" s="2">
      <c r="A143" s="165" t="n"/>
      <c r="B143" s="161" t="inlineStr">
        <is>
          <t xml:space="preserve">Витражные блоки </t>
        </is>
      </c>
      <c r="C143" s="161" t="n"/>
      <c r="D143" s="161" t="n"/>
      <c r="E143" s="161" t="n"/>
      <c r="F143" s="161" t="n"/>
      <c r="G143" s="161" t="n"/>
      <c r="H143" s="161" t="n"/>
      <c r="I143" s="166" t="n"/>
      <c r="J143" s="241" t="n"/>
      <c r="K143" s="241" t="n"/>
      <c r="L143" s="161" t="n"/>
      <c r="M143" s="112" t="n"/>
      <c r="N143" s="112" t="n"/>
      <c r="O143" s="162" t="n"/>
    </row>
    <row r="144" ht="90" customFormat="1" customHeight="1" s="2">
      <c r="A144" s="171" t="n">
        <v>1</v>
      </c>
      <c r="B144" s="172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4" s="173" t="inlineStr">
        <is>
          <t>м2</t>
        </is>
      </c>
      <c r="D144" s="271" t="n">
        <v>40.49</v>
      </c>
      <c r="E144" s="191">
        <f>F144+G145</f>
        <v/>
      </c>
      <c r="F144" s="192" t="n">
        <v>2966</v>
      </c>
      <c r="G144" s="192" t="n"/>
      <c r="H144" s="193">
        <f>D144*E144</f>
        <v/>
      </c>
      <c r="I144" s="111">
        <f>ROUND(ROUND(D144,2)*0.7,2)</f>
        <v/>
      </c>
      <c r="J144" s="238">
        <f>I144*E144</f>
        <v/>
      </c>
      <c r="K144" s="238">
        <f>J144</f>
        <v/>
      </c>
      <c r="L144" s="266">
        <f>I144</f>
        <v/>
      </c>
      <c r="M144" s="266">
        <f>J144</f>
        <v/>
      </c>
      <c r="N144" s="235">
        <f>D144-L144</f>
        <v/>
      </c>
      <c r="O144" s="267">
        <f>H144-M144</f>
        <v/>
      </c>
    </row>
    <row r="145" customFormat="1" s="2">
      <c r="A145" s="194" t="n"/>
      <c r="B145" s="195" t="inlineStr">
        <is>
          <t xml:space="preserve">Витражный блок Вн-6 (4200х4820мм) </t>
        </is>
      </c>
      <c r="C145" s="196" t="inlineStr">
        <is>
          <t>м2</t>
        </is>
      </c>
      <c r="D145" s="256" t="n"/>
      <c r="E145" s="214" t="n"/>
      <c r="F145" s="95" t="n"/>
      <c r="G145" s="95" t="n">
        <v>19734.44</v>
      </c>
      <c r="H145" s="32" t="n"/>
      <c r="I145" s="110" t="n"/>
      <c r="J145" s="239" t="n"/>
      <c r="K145" s="239" t="n"/>
      <c r="L145" s="269" t="n"/>
      <c r="M145" s="269" t="n"/>
      <c r="N145" s="236" t="n"/>
      <c r="O145" s="270" t="n"/>
    </row>
    <row r="146" ht="90" customFormat="1" customHeight="1" s="2">
      <c r="A146" s="197">
        <f>A144+1</f>
        <v/>
      </c>
      <c r="B146" s="198" t="inlineStr">
        <is>
          <t>Изготовление и монтаж витража Вн-7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6" s="199" t="inlineStr">
        <is>
          <t>м2</t>
        </is>
      </c>
      <c r="D146" s="271" t="n">
        <v>14.56</v>
      </c>
      <c r="E146" s="191">
        <f>F146+G147</f>
        <v/>
      </c>
      <c r="F146" s="191" t="n">
        <v>2966</v>
      </c>
      <c r="G146" s="191" t="n"/>
      <c r="H146" s="200">
        <f>D146*E146</f>
        <v/>
      </c>
      <c r="I146" s="111">
        <f>ROUND(ROUND(D146,2)*0.7,2)</f>
        <v/>
      </c>
      <c r="J146" s="238">
        <f>I146*E146</f>
        <v/>
      </c>
      <c r="K146" s="238">
        <f>J146</f>
        <v/>
      </c>
      <c r="L146" s="266">
        <f>I146</f>
        <v/>
      </c>
      <c r="M146" s="266">
        <f>J146</f>
        <v/>
      </c>
      <c r="N146" s="235">
        <f>D146-L146</f>
        <v/>
      </c>
      <c r="O146" s="267">
        <f>H146-M146</f>
        <v/>
      </c>
    </row>
    <row r="147" customFormat="1" s="2">
      <c r="A147" s="3" t="n"/>
      <c r="B147" s="1" t="inlineStr">
        <is>
          <t xml:space="preserve">Витражный блок Вн-7 (3020х4820 мм) </t>
        </is>
      </c>
      <c r="C147" s="94" t="inlineStr">
        <is>
          <t>м2</t>
        </is>
      </c>
      <c r="D147" s="256" t="n"/>
      <c r="E147" s="215" t="n"/>
      <c r="F147" s="189" t="n"/>
      <c r="G147" s="189" t="n">
        <v>19734.44</v>
      </c>
      <c r="H147" s="190" t="n"/>
      <c r="I147" s="110" t="n"/>
      <c r="J147" s="239" t="n"/>
      <c r="K147" s="239" t="n"/>
      <c r="L147" s="269" t="n"/>
      <c r="M147" s="269" t="n"/>
      <c r="N147" s="236" t="n"/>
      <c r="O147" s="270" t="n"/>
    </row>
    <row r="148" ht="90" customFormat="1" customHeight="1" s="2">
      <c r="A148" s="197">
        <f>A146+1</f>
        <v/>
      </c>
      <c r="B148" s="198" t="inlineStr">
        <is>
          <t>Изготовление и монтаж витража Вн-9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8" s="199" t="inlineStr">
        <is>
          <t>м2</t>
        </is>
      </c>
      <c r="D148" s="271" t="n">
        <v>18.65</v>
      </c>
      <c r="E148" s="191">
        <f>F148+G149</f>
        <v/>
      </c>
      <c r="F148" s="191" t="n">
        <v>2966</v>
      </c>
      <c r="G148" s="191" t="n"/>
      <c r="H148" s="200">
        <f>D148*E148</f>
        <v/>
      </c>
      <c r="I148" s="111">
        <f>ROUND(ROUND(D148,2)*0.7,2)</f>
        <v/>
      </c>
      <c r="J148" s="238">
        <f>I148*E148</f>
        <v/>
      </c>
      <c r="K148" s="238">
        <f>J148</f>
        <v/>
      </c>
      <c r="L148" s="266">
        <f>I148</f>
        <v/>
      </c>
      <c r="M148" s="266">
        <f>J148</f>
        <v/>
      </c>
      <c r="N148" s="235">
        <f>D148-L148</f>
        <v/>
      </c>
      <c r="O148" s="267">
        <f>H148-M148</f>
        <v/>
      </c>
    </row>
    <row r="149" customFormat="1" s="2">
      <c r="A149" s="3" t="n"/>
      <c r="B149" s="1" t="inlineStr">
        <is>
          <t xml:space="preserve">Витражный блок Вн-9 (3870х4820 мм) </t>
        </is>
      </c>
      <c r="C149" s="94" t="inlineStr">
        <is>
          <t>м2</t>
        </is>
      </c>
      <c r="D149" s="256" t="n"/>
      <c r="E149" s="215" t="n"/>
      <c r="F149" s="189" t="n"/>
      <c r="G149" s="189" t="n">
        <v>19734.44</v>
      </c>
      <c r="H149" s="190" t="n"/>
      <c r="I149" s="110" t="n"/>
      <c r="J149" s="239" t="n"/>
      <c r="K149" s="239" t="n"/>
      <c r="L149" s="269" t="n"/>
      <c r="M149" s="269" t="n"/>
      <c r="N149" s="236" t="n"/>
      <c r="O149" s="270" t="n"/>
    </row>
    <row r="150" ht="90" customFormat="1" customHeight="1" s="2">
      <c r="A150" s="197">
        <f>A148+1</f>
        <v/>
      </c>
      <c r="B150" s="198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50" s="199" t="inlineStr">
        <is>
          <t>м2</t>
        </is>
      </c>
      <c r="D150" s="271" t="n">
        <v>20.24</v>
      </c>
      <c r="E150" s="191">
        <f>F150+G151</f>
        <v/>
      </c>
      <c r="F150" s="191" t="n">
        <v>2966</v>
      </c>
      <c r="G150" s="191" t="n"/>
      <c r="H150" s="200">
        <f>D150*E150</f>
        <v/>
      </c>
      <c r="I150" s="111">
        <f>ROUND(ROUND(D150,2)*0.7,2)</f>
        <v/>
      </c>
      <c r="J150" s="238">
        <f>I150*E150</f>
        <v/>
      </c>
      <c r="K150" s="238">
        <f>J150</f>
        <v/>
      </c>
      <c r="L150" s="266">
        <f>I150</f>
        <v/>
      </c>
      <c r="M150" s="266">
        <f>J150</f>
        <v/>
      </c>
      <c r="N150" s="235">
        <f>D150-L150</f>
        <v/>
      </c>
      <c r="O150" s="267">
        <f>H150-M150</f>
        <v/>
      </c>
    </row>
    <row r="151" customFormat="1" s="2">
      <c r="A151" s="3" t="n"/>
      <c r="B151" s="1" t="inlineStr">
        <is>
          <t xml:space="preserve">Витражный блок Вн-17 (4200х4820 мм) </t>
        </is>
      </c>
      <c r="C151" s="94" t="inlineStr">
        <is>
          <t>м2</t>
        </is>
      </c>
      <c r="D151" s="256" t="n"/>
      <c r="E151" s="215" t="n"/>
      <c r="F151" s="189" t="n"/>
      <c r="G151" s="189" t="n">
        <v>19734.44</v>
      </c>
      <c r="H151" s="190" t="n"/>
      <c r="I151" s="110" t="n"/>
      <c r="J151" s="239" t="n"/>
      <c r="K151" s="239" t="n"/>
      <c r="L151" s="269" t="n"/>
      <c r="M151" s="269" t="n"/>
      <c r="N151" s="236" t="n"/>
      <c r="O151" s="270" t="n"/>
    </row>
    <row r="152" ht="15.75" customFormat="1" customHeight="1" s="2">
      <c r="A152" s="165" t="n"/>
      <c r="B152" s="161" t="inlineStr">
        <is>
          <t xml:space="preserve">Двери наружные входные </t>
        </is>
      </c>
      <c r="C152" s="161" t="n"/>
      <c r="D152" s="161" t="n"/>
      <c r="E152" s="161" t="n"/>
      <c r="F152" s="161" t="n"/>
      <c r="G152" s="161" t="n"/>
      <c r="H152" s="161" t="n"/>
      <c r="I152" s="166" t="n"/>
      <c r="J152" s="241" t="n"/>
      <c r="K152" s="241" t="n"/>
      <c r="L152" s="161" t="n"/>
      <c r="M152" s="112" t="n"/>
      <c r="N152" s="112" t="n"/>
      <c r="O152" s="162" t="n"/>
    </row>
    <row r="153" ht="57" customFormat="1" customHeight="1" s="2">
      <c r="A153" s="171" t="n">
        <v>1</v>
      </c>
      <c r="B153" s="172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53" s="173" t="inlineStr">
        <is>
          <t>м2</t>
        </is>
      </c>
      <c r="D153" s="271" t="n">
        <v>18.8</v>
      </c>
      <c r="E153" s="191">
        <f>F153+G154</f>
        <v/>
      </c>
      <c r="F153" s="192" t="n">
        <v>2966</v>
      </c>
      <c r="G153" s="192" t="n"/>
      <c r="H153" s="193">
        <f>D153*E153</f>
        <v/>
      </c>
      <c r="I153" s="111">
        <f>ROUND(ROUND(D153,2)*0.7,2)</f>
        <v/>
      </c>
      <c r="J153" s="238">
        <f>I153*E153</f>
        <v/>
      </c>
      <c r="K153" s="238">
        <f>J153</f>
        <v/>
      </c>
      <c r="L153" s="266">
        <f>I153</f>
        <v/>
      </c>
      <c r="M153" s="266">
        <f>J153</f>
        <v/>
      </c>
      <c r="N153" s="235">
        <f>D153-L153</f>
        <v/>
      </c>
      <c r="O153" s="267">
        <f>H153-M153</f>
        <v/>
      </c>
    </row>
    <row r="154" customFormat="1" s="2">
      <c r="A154" s="194" t="n"/>
      <c r="B154" s="195" t="inlineStr">
        <is>
          <t xml:space="preserve">Дверной блок наружный  ДНМО 2410х1300 П </t>
        </is>
      </c>
      <c r="C154" s="196" t="inlineStr">
        <is>
          <t>м2</t>
        </is>
      </c>
      <c r="D154" s="256" t="n"/>
      <c r="E154" s="214" t="n"/>
      <c r="F154" s="95" t="n"/>
      <c r="G154" s="95" t="n">
        <v>19734.44</v>
      </c>
      <c r="H154" s="32" t="n"/>
      <c r="I154" s="110" t="n"/>
      <c r="J154" s="239" t="n"/>
      <c r="K154" s="239" t="n"/>
      <c r="L154" s="269" t="n"/>
      <c r="M154" s="269" t="n"/>
      <c r="N154" s="236" t="n"/>
      <c r="O154" s="270" t="n"/>
    </row>
    <row r="155" ht="57" customFormat="1" customHeight="1" s="2">
      <c r="A155" s="197">
        <f>A153+1</f>
        <v/>
      </c>
      <c r="B155" s="198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5" s="199" t="inlineStr">
        <is>
          <t>м2</t>
        </is>
      </c>
      <c r="D155" s="271" t="n">
        <v>2.1</v>
      </c>
      <c r="E155" s="191">
        <f>F155+G156</f>
        <v/>
      </c>
      <c r="F155" s="191" t="n">
        <v>2966</v>
      </c>
      <c r="G155" s="191" t="n"/>
      <c r="H155" s="200">
        <f>D155*E155</f>
        <v/>
      </c>
      <c r="I155" s="111">
        <f>ROUND(ROUND(D155,2)*0.7,2)</f>
        <v/>
      </c>
      <c r="J155" s="238">
        <f>I155*E155</f>
        <v/>
      </c>
      <c r="K155" s="238">
        <f>J155</f>
        <v/>
      </c>
      <c r="L155" s="266">
        <f>I155</f>
        <v/>
      </c>
      <c r="M155" s="266">
        <f>J155</f>
        <v/>
      </c>
      <c r="N155" s="235">
        <f>D155-L155</f>
        <v/>
      </c>
      <c r="O155" s="267">
        <f>H155-M155</f>
        <v/>
      </c>
    </row>
    <row r="156" customFormat="1" s="2">
      <c r="A156" s="3" t="n"/>
      <c r="B156" s="1" t="inlineStr">
        <is>
          <t xml:space="preserve">Дверной блок наружный ДМН 2100х1000 П </t>
        </is>
      </c>
      <c r="C156" s="94" t="inlineStr">
        <is>
          <t>м2</t>
        </is>
      </c>
      <c r="D156" s="256" t="n"/>
      <c r="E156" s="215" t="n"/>
      <c r="F156" s="189" t="n"/>
      <c r="G156" s="189" t="n">
        <v>19734.44</v>
      </c>
      <c r="H156" s="190" t="n"/>
      <c r="I156" s="110" t="n"/>
      <c r="J156" s="239" t="n"/>
      <c r="K156" s="239" t="n"/>
      <c r="L156" s="269" t="n"/>
      <c r="M156" s="269" t="n"/>
      <c r="N156" s="236" t="n"/>
      <c r="O156" s="270" t="n"/>
    </row>
    <row r="157" ht="57" customFormat="1" customHeight="1" s="2">
      <c r="A157" s="197">
        <f>A155+1</f>
        <v/>
      </c>
      <c r="B157" s="198" t="inlineStr">
        <is>
          <t xml:space="preserve">Изготовление и монтаж дверных блоков входных двупольных Д19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7" s="199" t="inlineStr">
        <is>
          <t>м2</t>
        </is>
      </c>
      <c r="D157" s="271" t="n">
        <v>2.1</v>
      </c>
      <c r="E157" s="191">
        <f>F157+G158</f>
        <v/>
      </c>
      <c r="F157" s="191" t="n">
        <v>2966</v>
      </c>
      <c r="G157" s="191" t="n"/>
      <c r="H157" s="200">
        <f>D157*E157</f>
        <v/>
      </c>
      <c r="I157" s="111">
        <f>ROUND(ROUND(D157,2)*0.7,2)</f>
        <v/>
      </c>
      <c r="J157" s="238">
        <f>I157*E157</f>
        <v/>
      </c>
      <c r="K157" s="238">
        <f>J157</f>
        <v/>
      </c>
      <c r="L157" s="266">
        <f>I157</f>
        <v/>
      </c>
      <c r="M157" s="266">
        <f>J157</f>
        <v/>
      </c>
      <c r="N157" s="235">
        <f>D157-L157</f>
        <v/>
      </c>
      <c r="O157" s="267">
        <f>H157-M157</f>
        <v/>
      </c>
    </row>
    <row r="158" customFormat="1" s="2">
      <c r="A158" s="3" t="n"/>
      <c r="B158" s="1" t="inlineStr">
        <is>
          <t xml:space="preserve">Дверной блок наружный ДНМО 2100х1000 П </t>
        </is>
      </c>
      <c r="C158" s="94" t="inlineStr">
        <is>
          <t>м2</t>
        </is>
      </c>
      <c r="D158" s="256" t="n"/>
      <c r="E158" s="215" t="n"/>
      <c r="F158" s="189" t="n"/>
      <c r="G158" s="189" t="n">
        <v>19734.44</v>
      </c>
      <c r="H158" s="190" t="n"/>
      <c r="I158" s="110" t="n"/>
      <c r="J158" s="239" t="n"/>
      <c r="K158" s="239" t="n"/>
      <c r="L158" s="269" t="n"/>
      <c r="M158" s="269" t="n"/>
      <c r="N158" s="236" t="n"/>
      <c r="O158" s="270" t="n"/>
    </row>
    <row r="159" ht="57" customFormat="1" customHeight="1" s="2">
      <c r="A159" s="197">
        <f>A157+1</f>
        <v/>
      </c>
      <c r="B159" s="198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9" s="199" t="inlineStr">
        <is>
          <t>м2</t>
        </is>
      </c>
      <c r="D159" s="271" t="n">
        <v>2.73</v>
      </c>
      <c r="E159" s="191">
        <f>F159+G160</f>
        <v/>
      </c>
      <c r="F159" s="191" t="n">
        <v>2966</v>
      </c>
      <c r="G159" s="191" t="n"/>
      <c r="H159" s="200">
        <f>D159*E159</f>
        <v/>
      </c>
      <c r="I159" s="111">
        <f>ROUND(ROUND(D159,2)*0.7,2)</f>
        <v/>
      </c>
      <c r="J159" s="238">
        <f>I159*E159</f>
        <v/>
      </c>
      <c r="K159" s="238">
        <f>J159</f>
        <v/>
      </c>
      <c r="L159" s="266">
        <f>I159</f>
        <v/>
      </c>
      <c r="M159" s="266">
        <f>J159</f>
        <v/>
      </c>
      <c r="N159" s="235">
        <f>D159-L159</f>
        <v/>
      </c>
      <c r="O159" s="267">
        <f>H159-M159</f>
        <v/>
      </c>
    </row>
    <row r="160" customFormat="1" s="2">
      <c r="A160" s="3" t="n"/>
      <c r="B160" s="1" t="inlineStr">
        <is>
          <t xml:space="preserve">Дверной блок наружный  ДМНО 2100х1300 П </t>
        </is>
      </c>
      <c r="C160" s="94" t="inlineStr">
        <is>
          <t>м2</t>
        </is>
      </c>
      <c r="D160" s="256" t="n"/>
      <c r="E160" s="215" t="n"/>
      <c r="F160" s="189" t="n"/>
      <c r="G160" s="189" t="n">
        <v>19734.44</v>
      </c>
      <c r="H160" s="190" t="n"/>
      <c r="I160" s="110" t="n"/>
      <c r="J160" s="239" t="n"/>
      <c r="K160" s="239" t="n"/>
      <c r="L160" s="269" t="n"/>
      <c r="M160" s="269" t="n"/>
      <c r="N160" s="236" t="n"/>
      <c r="O160" s="270" t="n"/>
    </row>
    <row r="161" ht="57" customFormat="1" customHeight="1" s="2">
      <c r="A161" s="197">
        <f>A159+1</f>
        <v/>
      </c>
      <c r="B161" s="198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61" s="199" t="inlineStr">
        <is>
          <t>м2</t>
        </is>
      </c>
      <c r="D161" s="271" t="n">
        <v>3.13</v>
      </c>
      <c r="E161" s="191">
        <f>F161+G162</f>
        <v/>
      </c>
      <c r="F161" s="191" t="n">
        <v>2966</v>
      </c>
      <c r="G161" s="191" t="n"/>
      <c r="H161" s="200">
        <f>D161*E161</f>
        <v/>
      </c>
      <c r="I161" s="111">
        <f>ROUND(ROUND(D161,2)*0.7,2)</f>
        <v/>
      </c>
      <c r="J161" s="238">
        <f>I161*E161</f>
        <v/>
      </c>
      <c r="K161" s="238">
        <f>J161</f>
        <v/>
      </c>
      <c r="L161" s="266">
        <f>I161</f>
        <v/>
      </c>
      <c r="M161" s="266">
        <f>J161</f>
        <v/>
      </c>
      <c r="N161" s="235">
        <f>D161-L161</f>
        <v/>
      </c>
      <c r="O161" s="267">
        <f>H161-M161</f>
        <v/>
      </c>
    </row>
    <row r="162" customFormat="1" s="2">
      <c r="A162" s="3" t="n"/>
      <c r="B162" s="1" t="inlineStr">
        <is>
          <t xml:space="preserve">Дверной блок наружный  ДНМО 2410х1300 Л </t>
        </is>
      </c>
      <c r="C162" s="94" t="inlineStr">
        <is>
          <t>м2</t>
        </is>
      </c>
      <c r="D162" s="256" t="n"/>
      <c r="E162" s="215" t="n"/>
      <c r="F162" s="189" t="n"/>
      <c r="G162" s="189" t="n">
        <v>19734.44</v>
      </c>
      <c r="H162" s="190" t="n"/>
      <c r="I162" s="110" t="n"/>
      <c r="J162" s="239" t="n"/>
      <c r="K162" s="239" t="n"/>
      <c r="L162" s="269" t="n"/>
      <c r="M162" s="269" t="n"/>
      <c r="N162" s="236" t="n"/>
      <c r="O162" s="270" t="n"/>
    </row>
    <row r="163" ht="15.75" customFormat="1" customHeight="1" s="2">
      <c r="A163" s="37" t="n"/>
      <c r="B163" s="35" t="inlineStr">
        <is>
          <t>Блок-секция Ж(Парковка)</t>
        </is>
      </c>
      <c r="C163" s="35" t="n"/>
      <c r="D163" s="35" t="n"/>
      <c r="E163" s="35" t="n"/>
      <c r="F163" s="35" t="n"/>
      <c r="G163" s="35" t="n"/>
      <c r="H163" s="35" t="n"/>
      <c r="I163" s="38" t="n"/>
      <c r="J163" s="242" t="n"/>
      <c r="K163" s="242" t="n"/>
      <c r="L163" s="35" t="n"/>
      <c r="M163" s="33" t="n"/>
      <c r="N163" s="33" t="n"/>
      <c r="O163" s="34" t="n"/>
    </row>
    <row r="164" ht="15.75" customFormat="1" customHeight="1" s="2">
      <c r="A164" s="165" t="n"/>
      <c r="B164" s="161" t="inlineStr">
        <is>
          <t xml:space="preserve">Витражные блоки </t>
        </is>
      </c>
      <c r="C164" s="161" t="n"/>
      <c r="D164" s="161" t="n"/>
      <c r="E164" s="161" t="n"/>
      <c r="F164" s="161" t="n"/>
      <c r="G164" s="161" t="n"/>
      <c r="H164" s="161" t="n"/>
      <c r="I164" s="166" t="n"/>
      <c r="J164" s="241" t="n"/>
      <c r="K164" s="241" t="n"/>
      <c r="L164" s="161" t="n"/>
      <c r="M164" s="112" t="n"/>
      <c r="N164" s="112" t="n"/>
      <c r="O164" s="162" t="n"/>
    </row>
    <row r="165" ht="90" customFormat="1" customHeight="1" s="2">
      <c r="A165" s="171" t="n">
        <v>1</v>
      </c>
      <c r="B165" s="172" t="inlineStr">
        <is>
          <t>Изготовление и монтаж витража Вн-1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65" s="173" t="inlineStr">
        <is>
          <t>м2</t>
        </is>
      </c>
      <c r="D165" s="271" t="n">
        <v>18.38</v>
      </c>
      <c r="E165" s="191">
        <f>F165+G166</f>
        <v/>
      </c>
      <c r="F165" s="192" t="n">
        <v>2966</v>
      </c>
      <c r="G165" s="192" t="n"/>
      <c r="H165" s="193">
        <f>D165*E165</f>
        <v/>
      </c>
      <c r="I165" s="111">
        <f>ROUND(ROUND(D165,2)*0.7,2)</f>
        <v/>
      </c>
      <c r="J165" s="238">
        <f>I165*E165</f>
        <v/>
      </c>
      <c r="K165" s="238">
        <f>J165</f>
        <v/>
      </c>
      <c r="L165" s="266">
        <f>I165</f>
        <v/>
      </c>
      <c r="M165" s="266">
        <f>J165</f>
        <v/>
      </c>
      <c r="N165" s="235">
        <f>D165-L165</f>
        <v/>
      </c>
      <c r="O165" s="267">
        <f>H165-M165</f>
        <v/>
      </c>
    </row>
    <row r="166" customFormat="1" s="2">
      <c r="A166" s="194" t="n"/>
      <c r="B166" s="195" t="inlineStr">
        <is>
          <t>Витражный блок Вн-1 (4750х3870 мм) - 1 шт.</t>
        </is>
      </c>
      <c r="C166" s="196" t="inlineStr">
        <is>
          <t>м2</t>
        </is>
      </c>
      <c r="D166" s="256" t="n"/>
      <c r="E166" s="214" t="n"/>
      <c r="F166" s="95" t="n"/>
      <c r="G166" s="95" t="n">
        <v>19734.44</v>
      </c>
      <c r="H166" s="32" t="n"/>
      <c r="I166" s="110" t="n"/>
      <c r="J166" s="239" t="n"/>
      <c r="K166" s="239" t="n"/>
      <c r="L166" s="269" t="n"/>
      <c r="M166" s="269" t="n"/>
      <c r="N166" s="236" t="n"/>
      <c r="O166" s="270" t="n"/>
    </row>
    <row r="167" ht="90" customFormat="1" customHeight="1" s="2">
      <c r="A167" s="197">
        <f>A165+1</f>
        <v/>
      </c>
      <c r="B167" s="198" t="inlineStr">
        <is>
          <t>Изготовление и монтаж витража Вн-2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67" s="199" t="inlineStr">
        <is>
          <t>м2</t>
        </is>
      </c>
      <c r="D167" s="271" t="n">
        <v>18.38</v>
      </c>
      <c r="E167" s="191">
        <f>F167+G168</f>
        <v/>
      </c>
      <c r="F167" s="191" t="n">
        <v>2966</v>
      </c>
      <c r="G167" s="191" t="n"/>
      <c r="H167" s="200">
        <f>D167*E167</f>
        <v/>
      </c>
      <c r="I167" s="111">
        <f>ROUND(ROUND(D167,2)*0.7,2)</f>
        <v/>
      </c>
      <c r="J167" s="238">
        <f>I167*E167</f>
        <v/>
      </c>
      <c r="K167" s="238">
        <f>J167</f>
        <v/>
      </c>
      <c r="L167" s="266">
        <f>I167</f>
        <v/>
      </c>
      <c r="M167" s="266">
        <f>J167</f>
        <v/>
      </c>
      <c r="N167" s="235">
        <f>D167-L167</f>
        <v/>
      </c>
      <c r="O167" s="267">
        <f>H167-M167</f>
        <v/>
      </c>
    </row>
    <row r="168" customFormat="1" s="2">
      <c r="A168" s="3" t="n"/>
      <c r="B168" s="1" t="inlineStr">
        <is>
          <t>Витражный блок Вн-2 (4750х3870 мм) - 1 шт.</t>
        </is>
      </c>
      <c r="C168" s="94" t="inlineStr">
        <is>
          <t>м2</t>
        </is>
      </c>
      <c r="D168" s="256" t="n"/>
      <c r="E168" s="215" t="n"/>
      <c r="F168" s="189" t="n"/>
      <c r="G168" s="189" t="n">
        <v>19734.44</v>
      </c>
      <c r="H168" s="190" t="n"/>
      <c r="I168" s="110" t="n"/>
      <c r="J168" s="239" t="n"/>
      <c r="K168" s="239" t="n"/>
      <c r="L168" s="269" t="n"/>
      <c r="M168" s="269" t="n"/>
      <c r="N168" s="236" t="n"/>
      <c r="O168" s="270" t="n"/>
    </row>
    <row r="169" ht="90" customFormat="1" customHeight="1" s="2">
      <c r="A169" s="197">
        <f>A167+1</f>
        <v/>
      </c>
      <c r="B169" s="198" t="inlineStr">
        <is>
          <t>Изготовление и монтаж витража Вн-3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69" s="199" t="inlineStr">
        <is>
          <t>м2</t>
        </is>
      </c>
      <c r="D169" s="271" t="n">
        <v>23.61</v>
      </c>
      <c r="E169" s="191">
        <f>F169+G170</f>
        <v/>
      </c>
      <c r="F169" s="191" t="n">
        <v>2966</v>
      </c>
      <c r="G169" s="191" t="n"/>
      <c r="H169" s="200">
        <f>D169*E169</f>
        <v/>
      </c>
      <c r="I169" s="111">
        <f>ROUND(ROUND(D169,2)*0.7,2)</f>
        <v/>
      </c>
      <c r="J169" s="238">
        <f>I169*E169</f>
        <v/>
      </c>
      <c r="K169" s="238">
        <f>J169</f>
        <v/>
      </c>
      <c r="L169" s="266">
        <f>I169</f>
        <v/>
      </c>
      <c r="M169" s="266">
        <f>J169</f>
        <v/>
      </c>
      <c r="N169" s="235">
        <f>D169-L169</f>
        <v/>
      </c>
      <c r="O169" s="267">
        <f>H169-M169</f>
        <v/>
      </c>
    </row>
    <row r="170" customFormat="1" s="2">
      <c r="A170" s="3" t="n"/>
      <c r="B170" s="1" t="inlineStr">
        <is>
          <t>Витражный блок Вн-3 (6100х3870 мм) - 1 шт.</t>
        </is>
      </c>
      <c r="C170" s="94" t="inlineStr">
        <is>
          <t>м2</t>
        </is>
      </c>
      <c r="D170" s="256" t="n"/>
      <c r="E170" s="215" t="n"/>
      <c r="F170" s="189" t="n"/>
      <c r="G170" s="189" t="n">
        <v>19734.44</v>
      </c>
      <c r="H170" s="190" t="n"/>
      <c r="I170" s="110" t="n"/>
      <c r="J170" s="239" t="n"/>
      <c r="K170" s="239" t="n"/>
      <c r="L170" s="269" t="n"/>
      <c r="M170" s="269" t="n"/>
      <c r="N170" s="236" t="n"/>
      <c r="O170" s="270" t="n"/>
    </row>
    <row r="171" ht="90" customFormat="1" customHeight="1" s="2">
      <c r="A171" s="197">
        <f>A169+1</f>
        <v/>
      </c>
      <c r="B171" s="198" t="inlineStr">
        <is>
          <t>Изготовление и монтаж витража Вн-4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71" s="206" t="inlineStr">
        <is>
          <t>м2</t>
        </is>
      </c>
      <c r="D171" s="271" t="n">
        <v>18.74</v>
      </c>
      <c r="E171" s="191">
        <f>F171+G172</f>
        <v/>
      </c>
      <c r="F171" s="191" t="n">
        <v>2966</v>
      </c>
      <c r="G171" s="191" t="n"/>
      <c r="H171" s="200">
        <f>D171*E171</f>
        <v/>
      </c>
      <c r="I171" s="111">
        <f>ROUND(ROUND(D171,2)*0.7,2)</f>
        <v/>
      </c>
      <c r="J171" s="238">
        <f>I171*E171</f>
        <v/>
      </c>
      <c r="K171" s="238">
        <f>J171</f>
        <v/>
      </c>
      <c r="L171" s="266">
        <f>I171</f>
        <v/>
      </c>
      <c r="M171" s="266">
        <f>J171</f>
        <v/>
      </c>
      <c r="N171" s="235">
        <f>D171-L171</f>
        <v/>
      </c>
      <c r="O171" s="267">
        <f>H171-M171</f>
        <v/>
      </c>
    </row>
    <row r="172" customFormat="1" s="2">
      <c r="A172" s="3" t="n"/>
      <c r="B172" s="1" t="inlineStr">
        <is>
          <t>Витражный блок Вн-4 (5400х3470 мм) - 1 шт.</t>
        </is>
      </c>
      <c r="C172" s="207" t="inlineStr">
        <is>
          <t>м2</t>
        </is>
      </c>
      <c r="D172" s="256" t="n"/>
      <c r="E172" s="215" t="n"/>
      <c r="F172" s="189" t="n"/>
      <c r="G172" s="189" t="n">
        <v>19734.44</v>
      </c>
      <c r="H172" s="190" t="n"/>
      <c r="I172" s="110" t="n"/>
      <c r="J172" s="239" t="n"/>
      <c r="K172" s="239" t="n"/>
      <c r="L172" s="269" t="n"/>
      <c r="M172" s="269" t="n"/>
      <c r="N172" s="236" t="n"/>
      <c r="O172" s="270" t="n"/>
    </row>
    <row r="173" ht="90" customFormat="1" customHeight="1" s="2">
      <c r="A173" s="197">
        <f>A171+1</f>
        <v/>
      </c>
      <c r="B173" s="198" t="inlineStr">
        <is>
          <t>Изготовление и монтаж витража Вн-5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73" s="206" t="inlineStr">
        <is>
          <t>м2</t>
        </is>
      </c>
      <c r="D173" s="271" t="n">
        <v>26.52</v>
      </c>
      <c r="E173" s="191">
        <f>F173+G174</f>
        <v/>
      </c>
      <c r="F173" s="191" t="n">
        <v>2966</v>
      </c>
      <c r="G173" s="191" t="n"/>
      <c r="H173" s="200">
        <f>D173*E173</f>
        <v/>
      </c>
      <c r="I173" s="111">
        <f>ROUND(ROUND(D173,2)*0.7,2)</f>
        <v/>
      </c>
      <c r="J173" s="238">
        <f>I173*E173</f>
        <v/>
      </c>
      <c r="K173" s="238">
        <f>J173</f>
        <v/>
      </c>
      <c r="L173" s="266">
        <f>I173</f>
        <v/>
      </c>
      <c r="M173" s="266">
        <f>J173</f>
        <v/>
      </c>
      <c r="N173" s="235">
        <f>D173-L173</f>
        <v/>
      </c>
      <c r="O173" s="267">
        <f>H173-M173</f>
        <v/>
      </c>
    </row>
    <row r="174" customFormat="1" s="2">
      <c r="A174" s="3" t="n"/>
      <c r="B174" s="1" t="inlineStr">
        <is>
          <t>Витражный блок Вн-5 (7800х3470 мм) - 1 шт.</t>
        </is>
      </c>
      <c r="C174" s="207" t="inlineStr">
        <is>
          <t>м2</t>
        </is>
      </c>
      <c r="D174" s="256" t="n"/>
      <c r="E174" s="215" t="n"/>
      <c r="F174" s="189" t="n"/>
      <c r="G174" s="189" t="n">
        <v>19734.44</v>
      </c>
      <c r="H174" s="190" t="n"/>
      <c r="I174" s="110" t="n"/>
      <c r="J174" s="239" t="n"/>
      <c r="K174" s="239" t="n"/>
      <c r="L174" s="269" t="n"/>
      <c r="M174" s="269" t="n"/>
      <c r="N174" s="236" t="n"/>
      <c r="O174" s="270" t="n"/>
    </row>
    <row r="175" ht="15.75" customFormat="1" customHeight="1" s="2">
      <c r="A175" s="37" t="n"/>
      <c r="B175" s="35" t="n"/>
      <c r="C175" s="35" t="n"/>
      <c r="D175" s="209" t="n"/>
      <c r="E175" s="35" t="n"/>
      <c r="F175" s="35" t="n"/>
      <c r="G175" s="35" t="n"/>
      <c r="H175" s="35" t="n"/>
      <c r="I175" s="38" t="n"/>
      <c r="J175" s="38" t="n"/>
      <c r="K175" s="38" t="n"/>
      <c r="L175" s="35" t="n"/>
      <c r="M175" s="33" t="n"/>
      <c r="N175" s="33" t="n"/>
      <c r="O175" s="34" t="n"/>
    </row>
    <row r="176" ht="15.75" customFormat="1" customHeight="1" s="203">
      <c r="A176" s="201" t="n"/>
      <c r="B176" s="204" t="inlineStr">
        <is>
          <t>Итого:</t>
        </is>
      </c>
      <c r="C176" s="205" t="inlineStr">
        <is>
          <t>м2</t>
        </is>
      </c>
      <c r="D176" s="217">
        <f>SUM(D42:D174)</f>
        <v/>
      </c>
      <c r="E176" s="202" t="n"/>
      <c r="F176" s="202" t="n"/>
      <c r="G176" s="202" t="n"/>
      <c r="H176" s="218">
        <f>SUM(H42:H174)</f>
        <v/>
      </c>
      <c r="I176" s="243" t="n"/>
      <c r="J176" s="245">
        <f>SUM(J42:J174)</f>
        <v/>
      </c>
      <c r="K176" s="244" t="n"/>
      <c r="L176" s="201" t="n"/>
      <c r="M176" s="246">
        <f>SUM(M42:M174)</f>
        <v/>
      </c>
      <c r="N176" s="247" t="n"/>
      <c r="O176" s="246">
        <f>H176-M176</f>
        <v/>
      </c>
    </row>
    <row r="177" ht="15.75" customFormat="1" customHeight="1" s="203">
      <c r="A177" s="201" t="n"/>
      <c r="B177" s="204" t="inlineStr">
        <is>
          <t>ВСЕГО без НДС</t>
        </is>
      </c>
      <c r="C177" s="202" t="n"/>
      <c r="D177" s="202" t="n"/>
      <c r="E177" s="202" t="n"/>
      <c r="F177" s="202" t="n"/>
      <c r="G177" s="202" t="n"/>
      <c r="H177" s="218">
        <f>H176/1.2</f>
        <v/>
      </c>
      <c r="I177" s="243" t="n"/>
      <c r="J177" s="245">
        <f>J176/1.22</f>
        <v/>
      </c>
      <c r="K177" s="244" t="n"/>
      <c r="L177" s="201" t="n"/>
      <c r="M177" s="246">
        <f>M176/1.22</f>
        <v/>
      </c>
      <c r="N177" s="247" t="n"/>
      <c r="O177" s="246">
        <f>H177-M177</f>
        <v/>
      </c>
    </row>
    <row r="178" ht="15.75" customFormat="1" customHeight="1" s="203">
      <c r="A178" s="201" t="n"/>
      <c r="B178" s="204" t="inlineStr">
        <is>
          <t>в том числе НДС</t>
        </is>
      </c>
      <c r="C178" s="202" t="n"/>
      <c r="D178" s="202" t="n"/>
      <c r="E178" s="202" t="n"/>
      <c r="F178" s="202" t="n"/>
      <c r="G178" s="202" t="n"/>
      <c r="H178" s="218">
        <f>H176-H177</f>
        <v/>
      </c>
      <c r="I178" s="243" t="n"/>
      <c r="J178" s="245">
        <f>J176-J177</f>
        <v/>
      </c>
      <c r="K178" s="244" t="n"/>
      <c r="L178" s="201" t="n"/>
      <c r="M178" s="246">
        <f>M176-M177</f>
        <v/>
      </c>
      <c r="N178" s="247" t="n"/>
      <c r="O178" s="246">
        <f>H178-M178</f>
        <v/>
      </c>
    </row>
    <row r="179"/>
    <row r="180"/>
    <row r="181">
      <c r="H181" s="219" t="n"/>
    </row>
  </sheetData>
  <mergeCells count="88">
    <mergeCell ref="L3:L4"/>
    <mergeCell ref="F25:G25"/>
    <mergeCell ref="D52:D53"/>
    <mergeCell ref="D86:D87"/>
    <mergeCell ref="D61:D62"/>
    <mergeCell ref="L5:L6"/>
    <mergeCell ref="D150:D151"/>
    <mergeCell ref="D134:D135"/>
    <mergeCell ref="J9:L10"/>
    <mergeCell ref="J36:J37"/>
    <mergeCell ref="B3:H3"/>
    <mergeCell ref="D71:D72"/>
    <mergeCell ref="M7:O8"/>
    <mergeCell ref="D103:D104"/>
    <mergeCell ref="D73:D74"/>
    <mergeCell ref="D167:D168"/>
    <mergeCell ref="D54:D55"/>
    <mergeCell ref="D63:D64"/>
    <mergeCell ref="D98:D99"/>
    <mergeCell ref="D169:D170"/>
    <mergeCell ref="E35:G35"/>
    <mergeCell ref="M2:O2"/>
    <mergeCell ref="D153:D154"/>
    <mergeCell ref="D140:D141"/>
    <mergeCell ref="D155:D156"/>
    <mergeCell ref="D77:D78"/>
    <mergeCell ref="M9:O10"/>
    <mergeCell ref="O36:O37"/>
    <mergeCell ref="M15:O15"/>
    <mergeCell ref="D75:D76"/>
    <mergeCell ref="D125:D126"/>
    <mergeCell ref="B7:H7"/>
    <mergeCell ref="M14:O14"/>
    <mergeCell ref="D127:D128"/>
    <mergeCell ref="D117:D118"/>
    <mergeCell ref="D79:D80"/>
    <mergeCell ref="D88:D89"/>
    <mergeCell ref="D144:D145"/>
    <mergeCell ref="D159:D160"/>
    <mergeCell ref="D94:D95"/>
    <mergeCell ref="D136:D137"/>
    <mergeCell ref="B9:H9"/>
    <mergeCell ref="I36:I37"/>
    <mergeCell ref="B5:H5"/>
    <mergeCell ref="D105:D106"/>
    <mergeCell ref="D57:D58"/>
    <mergeCell ref="F36:G36"/>
    <mergeCell ref="D107:D108"/>
    <mergeCell ref="D84:D85"/>
    <mergeCell ref="L35:M35"/>
    <mergeCell ref="D171:D172"/>
    <mergeCell ref="D165:D166"/>
    <mergeCell ref="D92:D93"/>
    <mergeCell ref="D42:D43"/>
    <mergeCell ref="D173:D174"/>
    <mergeCell ref="D157:D158"/>
    <mergeCell ref="L36:L37"/>
    <mergeCell ref="N36:N37"/>
    <mergeCell ref="D119:D120"/>
    <mergeCell ref="D109:D110"/>
    <mergeCell ref="D96:D97"/>
    <mergeCell ref="M13:O13"/>
    <mergeCell ref="D46:D47"/>
    <mergeCell ref="D111:D112"/>
    <mergeCell ref="D48:D49"/>
    <mergeCell ref="M5:O6"/>
    <mergeCell ref="I35:K35"/>
    <mergeCell ref="M36:M37"/>
    <mergeCell ref="D146:D147"/>
    <mergeCell ref="M11:O12"/>
    <mergeCell ref="K36:K38"/>
    <mergeCell ref="D121:D122"/>
    <mergeCell ref="D161:D162"/>
    <mergeCell ref="D148:D149"/>
    <mergeCell ref="D129:D130"/>
    <mergeCell ref="D67:D68"/>
    <mergeCell ref="D123:D124"/>
    <mergeCell ref="D138:D139"/>
    <mergeCell ref="M3:O4"/>
    <mergeCell ref="D132:D133"/>
    <mergeCell ref="D82:D83"/>
    <mergeCell ref="D69:D70"/>
    <mergeCell ref="D100:D101"/>
    <mergeCell ref="M1:O1"/>
    <mergeCell ref="D50:D51"/>
    <mergeCell ref="D44:D45"/>
    <mergeCell ref="D59:D60"/>
    <mergeCell ref="D115:D116"/>
  </mergeCells>
  <conditionalFormatting sqref="N42:O178">
    <cfRule type="cellIs" priority="1" operator="lessThan" dxfId="0">
      <formula>0</formula>
    </cfRule>
  </conditionalFormatting>
  <dataValidations disablePrompts="1" count="1">
    <dataValidation sqref="B35:B36" showDropDown="0" showInputMessage="1" showErrorMessage="1" allowBlank="1" type="list" errorStyle="information">
      <formula1>#REF!</formula1>
      <formula2>0</formula2>
    </dataValidation>
  </dataValidations>
  <printOptions horizontalCentered="1"/>
  <pageMargins left="0" right="0" top="0" bottom="0" header="0" footer="0"/>
  <pageSetup orientation="landscape" paperSize="9" scale="55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 Windows</dc:creator>
  <dcterms:created xmlns:dcterms="http://purl.org/dc/terms/" xmlns:xsi="http://www.w3.org/2001/XMLSchema-instance" xsi:type="dcterms:W3CDTF">2002-01-28T10:20:49Z</dcterms:created>
  <dcterms:modified xmlns:dcterms="http://purl.org/dc/terms/" xmlns:xsi="http://www.w3.org/2001/XMLSchema-instance" xsi:type="dcterms:W3CDTF">2026-09-28T10:36:17Z</dcterms:modified>
  <cp:lastModifiedBy>Кирилл Чайкин</cp:lastModifiedBy>
  <cp:lastPrinted>2026-09-25T13:04:20Z</cp:lastPrinted>
</cp:coreProperties>
</file>